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worksheets/sheet16.xml" ContentType="application/vnd.openxmlformats-officedocument.spreadsheetml.worksheet+xml"/>
  <Override PartName="/xl/tables/table2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745b9c25b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cbec077cf7084fee"/>
    <x:sheet xmlns:r="http://schemas.openxmlformats.org/officeDocument/2006/relationships" name="01_ReadMe" sheetId="2" r:id="Rccf677b54b11459c"/>
    <x:sheet xmlns:r="http://schemas.openxmlformats.org/officeDocument/2006/relationships" name="02_Sources" sheetId="3" r:id="Rc8788b302a4b4137"/>
    <x:sheet xmlns:r="http://schemas.openxmlformats.org/officeDocument/2006/relationships" name="03_Product_Score" sheetId="4" r:id="R7ea6a07ba5be466d"/>
    <x:sheet xmlns:r="http://schemas.openxmlformats.org/officeDocument/2006/relationships" name="04_Reg_Gates" sheetId="5" r:id="R8b8faca3fa9b4fb6"/>
    <x:sheet xmlns:r="http://schemas.openxmlformats.org/officeDocument/2006/relationships" name="05_Assumptions" sheetId="6" r:id="R7eda77f57e9c4f74"/>
    <x:sheet xmlns:r="http://schemas.openxmlformats.org/officeDocument/2006/relationships" name="06_Product_A" sheetId="7" r:id="R72a3770242334379"/>
    <x:sheet xmlns:r="http://schemas.openxmlformats.org/officeDocument/2006/relationships" name="07_Product_B" sheetId="8" r:id="Rb979e0eb869b4ccd"/>
    <x:sheet xmlns:r="http://schemas.openxmlformats.org/officeDocument/2006/relationships" name="08_Strategies" sheetId="9" r:id="Rf1ef067248fe4794"/>
    <x:sheet xmlns:r="http://schemas.openxmlformats.org/officeDocument/2006/relationships" name="09_Deterministic" sheetId="10" r:id="Rcf07e2c5f8584d57"/>
    <x:sheet xmlns:r="http://schemas.openxmlformats.org/officeDocument/2006/relationships" name="10_MC_Parameters" sheetId="11" r:id="R693e8d07aa9b4bce"/>
    <x:sheet xmlns:r="http://schemas.openxmlformats.org/officeDocument/2006/relationships" name="11_Sensitivity" sheetId="12" r:id="Rdef4b1ddf6c04eb3"/>
    <x:sheet xmlns:r="http://schemas.openxmlformats.org/officeDocument/2006/relationships" name="12_Results" sheetId="13" r:id="R2a09e2038070432b"/>
    <x:sheet xmlns:r="http://schemas.openxmlformats.org/officeDocument/2006/relationships" name="13_Checks" sheetId="14" r:id="R5febc2a792454f59"/>
    <x:sheet xmlns:r="http://schemas.openxmlformats.org/officeDocument/2006/relationships" name="14_Interview_Log" sheetId="15" r:id="Rcbae2663128a4a96"/>
    <x:sheet xmlns:r="http://schemas.openxmlformats.org/officeDocument/2006/relationships" name="15_Revision_Log" sheetId="16" r:id="R79b4f27e66f8466e"/>
    <x:sheet xmlns:r="http://schemas.openxmlformats.org/officeDocument/2006/relationships" name="16_Sim_Output" sheetId="17" r:id="R73eb4114e8b5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0.00"/>
    <x:numFmt numFmtId="202" formatCode="0%"/>
    <x:numFmt numFmtId="203" formatCode="0.0%"/>
    <x:numFmt numFmtId="204" formatCode="0.00x"/>
    <x:numFmt numFmtId="205" formatCode="$#,##0;[Red]($#,##0);-"/>
    <x:numFmt numFmtId="206" formatCode="$0.00"/>
    <x:numFmt numFmtId="207" formatCode="0.0"/>
    <x:numFmt numFmtId="208" formatCode="#,##0"/>
    <x:numFmt numFmtId="209" formatCode="0.00%"/>
    <x:numFmt numFmtId="210" formatCode="$#,##0"/>
  </x:numFmts>
  <x:fonts count="20">
    <x:font>
      <x:sz val="11"/>
      <x:name val="Carlito"/>
    </x:font>
    <x:font>
      <x:b/>
      <x:sz val="24"/>
      <x:color rgb="FFFFFFFF"/>
      <x:name val="Carlito"/>
    </x:font>
    <x:font>
      <x:b/>
      <x:sz val="15"/>
      <x:color rgb="FF2E5D7B"/>
      <x:name val="Carlito"/>
    </x:font>
    <x:font>
      <x:sz val="11"/>
      <x:color rgb="FF17212B"/>
      <x:name val="Carlito"/>
    </x:font>
    <x:font>
      <x:b/>
      <x:sz val="11"/>
      <x:color rgb="FF16324F"/>
      <x:name val="Carlito"/>
    </x:font>
    <x:font>
      <x:b/>
      <x:sz val="11"/>
      <x:color rgb="FF922B35"/>
      <x:name val="Carlito"/>
    </x:font>
    <x:font>
      <x:b/>
      <x:sz val="18"/>
      <x:color rgb="FFFFFFFF"/>
      <x:name val="Carlito"/>
    </x:font>
    <x:font>
      <x:i/>
      <x:sz val="10"/>
      <x:color rgb="FF5D6873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sz val="10"/>
      <x:color rgb="FF0000FF"/>
      <x:name val="Carlito"/>
    </x:font>
    <x:font>
      <x:i/>
      <x:sz val="11"/>
      <x:color rgb="FF5D6873"/>
      <x:name val="Carlito"/>
    </x:font>
    <x:font>
      <x:i/>
      <x:sz val="10"/>
      <x:color rgb="FF17212B"/>
      <x:name val="Carlito"/>
    </x:font>
    <x:font>
      <x:b/>
      <x:sz val="10"/>
      <x:color rgb="FF17212B"/>
      <x:name val="Aptos"/>
    </x:font>
    <x:font>
      <x:sz val="10"/>
      <x:color rgb="FF17212B"/>
      <x:name val="Aptos"/>
    </x:font>
    <x:font>
      <x:i/>
      <x:sz val="10"/>
      <x:color rgb="FF17212B"/>
      <x:name val="Aptos"/>
    </x:font>
    <x:font>
      <x:b/>
      <x:sz val="18"/>
      <x:color rgb="FFFFFFFF"/>
      <x:name val="Aptos Display"/>
    </x:font>
    <x:font>
      <x:i/>
      <x:sz val="10"/>
      <x:color rgb="FF5D6873"/>
      <x:name val="Aptos"/>
    </x:font>
    <x:font>
      <x:b/>
      <x:sz val="24"/>
      <x:color rgb="FFFFFFFF"/>
      <x:name val="Aptos Display"/>
    </x:font>
    <x:font>
      <x:b/>
      <x:sz val="15"/>
      <x:color rgb="FF2E5D7B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C"/>
      </x:patternFill>
    </x:fill>
    <x:fill>
      <x:patternFill patternType="solid">
        <x:fgColor rgb="FFE9F0F5"/>
      </x:patternFill>
    </x:fill>
    <x:fill>
      <x:patternFill patternType="solid">
        <x:fgColor rgb="FFFBE1E3"/>
      </x:patternFill>
    </x:fill>
    <x:fill>
      <x:patternFill patternType="solid">
        <x:fgColor rgb="FF2E5D7B"/>
      </x:patternFill>
    </x:fill>
  </x:fills>
  <x:borders count="22">
    <x:border/>
    <x:border>
      <x:left style="thin">
        <x:color rgb="FFD9B84C"/>
      </x:left>
      <x:top style="thin">
        <x:color rgb="FFD9B84C"/>
      </x:top>
    </x:border>
    <x:border>
      <x:top style="thin">
        <x:color rgb="FFD9B84C"/>
      </x:top>
    </x:border>
    <x:border>
      <x:right style="thin">
        <x:color rgb="FFD9B84C"/>
      </x:right>
      <x:top style="thin">
        <x:color rgb="FFD9B84C"/>
      </x:top>
    </x:border>
    <x:border>
      <x:left style="thin">
        <x:color rgb="FFD9B84C"/>
      </x:left>
    </x:border>
    <x:border>
      <x:right style="thin">
        <x:color rgb="FFD9B84C"/>
      </x:right>
    </x:border>
    <x:border>
      <x:left style="thin">
        <x:color rgb="FFD9B84C"/>
      </x:left>
      <x:bottom style="thin">
        <x:color rgb="FFD9B84C"/>
      </x:bottom>
    </x:border>
    <x:border>
      <x:bottom style="thin">
        <x:color rgb="FFD9B84C"/>
      </x:bottom>
    </x:border>
    <x:border>
      <x:right style="thin">
        <x:color rgb="FFD9B84C"/>
      </x:right>
      <x:bottom style="thin">
        <x:color rgb="FFD9B84C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</x:border>
    <x:border>
      <x:left style="thin">
        <x:color rgb="FFD7DEE5"/>
      </x:left>
      <x:right style="thin">
        <x:color rgb="FFD7DEE5"/>
      </x:right>
    </x:border>
    <x:border>
      <x:left style="thin">
        <x:color rgb="FFD7DEE5"/>
      </x:left>
    </x:border>
  </x:borders>
  <x:cellStyleXfs count="1">
    <x:xf numFmtId="0" fontId="0" fillId="0" borderId="0"/>
  </x:cellStyleXfs>
  <x:cellXfs count="2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2" xfId="0" applyNumberFormat="1" applyFont="1" applyFill="1" applyBorder="1" applyAlignment="1">
      <x:alignment horizontal="left" wrapText="1"/>
    </x:xf>
    <x:xf numFmtId="0" fontId="3" fillId="3" borderId="3" xfId="0" applyNumberFormat="1" applyFont="1" applyFill="1" applyBorder="1" applyAlignment="1">
      <x:alignment horizontal="left" wrapText="1"/>
    </x:xf>
    <x:xf numFmtId="0" fontId="3" fillId="3" borderId="4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5" xfId="0" applyNumberFormat="1" applyFont="1" applyFill="1" applyBorder="1" applyAlignment="1">
      <x:alignment horizontal="left" wrapText="1"/>
    </x:xf>
    <x:xf numFmtId="0" fontId="3" fillId="3" borderId="6" xfId="0" applyNumberFormat="1" applyFont="1" applyFill="1" applyBorder="1" applyAlignment="1">
      <x:alignment horizontal="left" wrapText="1"/>
    </x:xf>
    <x:xf numFmtId="0" fontId="3" fillId="3" borderId="7" xfId="0" applyNumberFormat="1" applyFont="1" applyFill="1" applyBorder="1" applyAlignment="1">
      <x:alignment horizontal="left" wrapText="1"/>
    </x:xf>
    <x:xf numFmtId="0" fontId="3" fillId="3" borderId="8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3" fillId="3" borderId="4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5" xfId="0" applyNumberFormat="1" applyFont="1" applyFill="1" applyBorder="1" applyAlignment="1">
      <x:alignment horizontal="left" vertical="center" wrapText="1"/>
    </x:xf>
    <x:xf numFmtId="0" fontId="3" fillId="3" borderId="6" xfId="0" applyNumberFormat="1" applyFont="1" applyFill="1" applyBorder="1" applyAlignment="1">
      <x:alignment horizontal="left" vertical="center" wrapText="1"/>
    </x:xf>
    <x:xf numFmtId="0" fontId="3" fillId="3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0" fontId="9" fillId="0" borderId="13" xfId="0" applyNumberFormat="1" applyFont="1" applyFill="1" applyBorder="1" applyAlignment="1">
      <x:alignment vertical="top" wrapText="1"/>
    </x:xf>
    <x:xf numFmtId="200" fontId="9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10" xfId="0" applyNumberFormat="1" applyFont="1" applyFill="1" applyBorder="1"/>
    <x:xf numFmtId="201" fontId="9" fillId="0" borderId="13" xfId="0" applyNumberFormat="1" applyFont="1" applyFill="1" applyBorder="1"/>
    <x:xf numFmtId="201" fontId="9" fillId="0" borderId="16" xfId="0" applyNumberFormat="1" applyFont="1" applyFill="1" applyBorder="1"/>
    <x:xf numFmtId="201" fontId="9" fillId="0" borderId="10" xfId="0" applyNumberFormat="1" applyFont="1" applyFill="1" applyBorder="1" applyAlignment="1">
      <x:alignment wrapText="1"/>
    </x:xf>
    <x:xf numFmtId="201" fontId="9" fillId="0" borderId="13" xfId="0" applyNumberFormat="1" applyFont="1" applyFill="1" applyBorder="1" applyAlignment="1">
      <x:alignment wrapText="1"/>
    </x:xf>
    <x:xf numFmtId="201" fontId="9" fillId="0" borderId="16" xfId="0" applyNumberFormat="1" applyFont="1" applyFill="1" applyBorder="1" applyAlignment="1">
      <x:alignment wrapText="1"/>
    </x:xf>
    <x:xf numFmtId="201" fontId="9" fillId="0" borderId="10" xfId="0" applyNumberFormat="1" applyFont="1" applyFill="1" applyBorder="1" applyAlignment="1">
      <x:alignment vertical="top" wrapText="1"/>
    </x:xf>
    <x:xf numFmtId="201" fontId="9" fillId="0" borderId="13" xfId="0" applyNumberFormat="1" applyFont="1" applyFill="1" applyBorder="1" applyAlignment="1">
      <x:alignment vertical="top" wrapText="1"/>
    </x:xf>
    <x:xf numFmtId="201" fontId="9" fillId="0" borderId="16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8" fillId="6" borderId="14" xfId="0" applyNumberFormat="1" applyFont="1" applyFill="1" applyBorder="1"/>
    <x:xf numFmtId="0" fontId="8" fillId="6" borderId="18" xfId="0" applyNumberFormat="1" applyFont="1" applyFill="1" applyBorder="1"/>
    <x:xf numFmtId="0" fontId="8" fillId="6" borderId="12" xfId="0" applyNumberFormat="1" applyFont="1" applyFill="1" applyBorder="1"/>
    <x:xf numFmtId="0" fontId="8" fillId="6" borderId="14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/>
    <x:xf numFmtId="202" fontId="9" fillId="0" borderId="16" xfId="0" applyNumberFormat="1" applyFont="1" applyFill="1" applyBorder="1"/>
    <x:xf numFmtId="202" fontId="9" fillId="0" borderId="17" xfId="0" applyNumberFormat="1" applyFont="1" applyFill="1" applyBorder="1"/>
    <x:xf numFmtId="202" fontId="9" fillId="0" borderId="16" xfId="0" applyNumberFormat="1" applyFont="1" applyFill="1" applyBorder="1" applyAlignment="1">
      <x:alignment wrapText="1"/>
    </x:xf>
    <x:xf numFmtId="202" fontId="9" fillId="0" borderId="17" xfId="0" applyNumberFormat="1" applyFont="1" applyFill="1" applyBorder="1" applyAlignment="1">
      <x:alignment wrapText="1"/>
    </x:xf>
    <x:xf numFmtId="202" fontId="9" fillId="0" borderId="16" xfId="0" applyNumberFormat="1" applyFont="1" applyFill="1" applyBorder="1" applyAlignment="1">
      <x:alignment vertical="top" wrapText="1"/>
    </x:xf>
    <x:xf numFmtId="202" fontId="9" fillId="0" borderId="17" xfId="0" applyNumberFormat="1" applyFont="1" applyFill="1" applyBorder="1" applyAlignment="1">
      <x:alignment vertical="top" wrapText="1"/>
    </x:xf>
    <x:xf numFmtId="0" fontId="9" fillId="3" borderId="10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9" fillId="3" borderId="16" xfId="0" applyNumberFormat="1" applyFont="1" applyFill="1" applyBorder="1" applyAlignment="1">
      <x:alignment vertical="top" wrapText="1"/>
    </x:xf>
    <x:xf numFmtId="0" fontId="10" fillId="3" borderId="10" xfId="0" applyNumberFormat="1" applyFont="1" applyFill="1" applyBorder="1" applyAlignment="1">
      <x:alignment vertical="top" wrapText="1"/>
    </x:xf>
    <x:xf numFmtId="0" fontId="10" fillId="3" borderId="13" xfId="0" applyNumberFormat="1" applyFont="1" applyFill="1" applyBorder="1" applyAlignment="1">
      <x:alignment vertical="top" wrapText="1"/>
    </x:xf>
    <x:xf numFmtId="0" fontId="10" fillId="3" borderId="16" xfId="0" applyNumberFormat="1" applyFont="1" applyFill="1" applyBorder="1" applyAlignment="1">
      <x:alignment vertical="top" wrapText="1"/>
    </x:xf>
    <x:xf numFmtId="203" fontId="10" fillId="3" borderId="13" xfId="0" applyNumberFormat="1" applyFont="1" applyFill="1" applyBorder="1" applyAlignment="1">
      <x:alignment vertical="top" wrapText="1"/>
    </x:xf>
    <x:xf numFmtId="204" fontId="10" fillId="3" borderId="13" xfId="0" applyNumberFormat="1" applyFont="1" applyFill="1" applyBorder="1" applyAlignment="1">
      <x:alignment vertical="top" wrapText="1"/>
    </x:xf>
    <x:xf numFmtId="202" fontId="10" fillId="3" borderId="13" xfId="0" applyNumberFormat="1" applyFont="1" applyFill="1" applyBorder="1" applyAlignment="1">
      <x:alignment vertical="top" wrapText="1"/>
    </x:xf>
    <x:xf numFmtId="203" fontId="9" fillId="0" borderId="10" xfId="0" applyNumberFormat="1" applyFont="1" applyFill="1" applyBorder="1" applyAlignment="1">
      <x:alignment vertical="top" wrapText="1"/>
    </x:xf>
    <x:xf numFmtId="203" fontId="9" fillId="0" borderId="13" xfId="0" applyNumberFormat="1" applyFont="1" applyFill="1" applyBorder="1" applyAlignment="1">
      <x:alignment vertical="top" wrapText="1"/>
    </x:xf>
    <x:xf numFmtId="203" fontId="9" fillId="0" borderId="16" xfId="0" applyNumberFormat="1" applyFont="1" applyFill="1" applyBorder="1" applyAlignment="1">
      <x:alignment vertical="top" wrapText="1"/>
    </x:xf>
    <x:xf numFmtId="205" fontId="9" fillId="0" borderId="10" xfId="0" applyNumberFormat="1" applyFont="1" applyFill="1" applyBorder="1" applyAlignment="1">
      <x:alignment vertical="top" wrapText="1"/>
    </x:xf>
    <x:xf numFmtId="205" fontId="9" fillId="0" borderId="13" xfId="0" applyNumberFormat="1" applyFont="1" applyFill="1" applyBorder="1" applyAlignment="1">
      <x:alignment vertical="top" wrapText="1"/>
    </x:xf>
    <x:xf numFmtId="205" fontId="9" fillId="0" borderId="16" xfId="0" applyNumberFormat="1" applyFont="1" applyFill="1" applyBorder="1" applyAlignment="1">
      <x:alignment vertical="top" wrapText="1"/>
    </x:xf>
    <x:xf numFmtId="206" fontId="9" fillId="0" borderId="10" xfId="0" applyNumberFormat="1" applyFont="1" applyFill="1" applyBorder="1" applyAlignment="1">
      <x:alignment vertical="top" wrapText="1"/>
    </x:xf>
    <x:xf numFmtId="206" fontId="9" fillId="0" borderId="13" xfId="0" applyNumberFormat="1" applyFont="1" applyFill="1" applyBorder="1" applyAlignment="1">
      <x:alignment vertical="top" wrapText="1"/>
    </x:xf>
    <x:xf numFmtId="206" fontId="9" fillId="0" borderId="16" xfId="0" applyNumberFormat="1" applyFont="1" applyFill="1" applyBorder="1" applyAlignment="1">
      <x:alignment vertical="top" wrapText="1"/>
    </x:xf>
    <x:xf numFmtId="207" fontId="9" fillId="0" borderId="10" xfId="0" applyNumberFormat="1" applyFont="1" applyFill="1" applyBorder="1" applyAlignment="1">
      <x:alignment vertical="top" wrapText="1"/>
    </x:xf>
    <x:xf numFmtId="207" fontId="9" fillId="0" borderId="11" xfId="0" applyNumberFormat="1" applyFont="1" applyFill="1" applyBorder="1" applyAlignment="1">
      <x:alignment vertical="top" wrapText="1"/>
    </x:xf>
    <x:xf numFmtId="207" fontId="9" fillId="0" borderId="13" xfId="0" applyNumberFormat="1" applyFont="1" applyFill="1" applyBorder="1" applyAlignment="1">
      <x:alignment vertical="top" wrapText="1"/>
    </x:xf>
    <x:xf numFmtId="207" fontId="9" fillId="0" borderId="14" xfId="0" applyNumberFormat="1" applyFont="1" applyFill="1" applyBorder="1" applyAlignment="1">
      <x:alignment vertical="top" wrapText="1"/>
    </x:xf>
    <x:xf numFmtId="207" fontId="9" fillId="0" borderId="16" xfId="0" applyNumberFormat="1" applyFont="1" applyFill="1" applyBorder="1" applyAlignment="1">
      <x:alignment vertical="top" wrapText="1"/>
    </x:xf>
    <x:xf numFmtId="207" fontId="9" fillId="0" borderId="17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19" xfId="0" applyNumberFormat="1" applyFont="1" applyFill="1" applyBorder="1"/>
    <x:xf numFmtId="0" fontId="12" fillId="3" borderId="20" xfId="0" applyNumberFormat="1" applyFont="1" applyFill="1" applyBorder="1"/>
    <x:xf numFmtId="0" fontId="12" fillId="3" borderId="21" xfId="0" applyNumberFormat="1" applyFont="1" applyFill="1" applyBorder="1"/>
    <x:xf numFmtId="0" fontId="12" fillId="3" borderId="19" xfId="0" applyNumberFormat="1" applyFont="1" applyFill="1" applyBorder="1" applyAlignment="1">
      <x:alignment wrapText="1"/>
    </x:xf>
    <x:xf numFmtId="0" fontId="12" fillId="3" borderId="20" xfId="0" applyNumberFormat="1" applyFont="1" applyFill="1" applyBorder="1" applyAlignment="1">
      <x:alignment wrapText="1"/>
    </x:xf>
    <x:xf numFmtId="0" fontId="12" fillId="3" borderId="21" xfId="0" applyNumberFormat="1" applyFont="1" applyFill="1" applyBorder="1" applyAlignment="1">
      <x:alignment wrapText="1"/>
    </x:xf>
    <x:xf numFmtId="0" fontId="12" fillId="3" borderId="19" xfId="0" applyNumberFormat="1" applyFont="1" applyFill="1" applyBorder="1" applyAlignment="1">
      <x:alignment vertical="top" wrapText="1"/>
    </x:xf>
    <x:xf numFmtId="0" fontId="12" fillId="3" borderId="20" xfId="0" applyNumberFormat="1" applyFont="1" applyFill="1" applyBorder="1" applyAlignment="1">
      <x:alignment vertical="top" wrapText="1"/>
    </x:xf>
    <x:xf numFmtId="0" fontId="12" fillId="3" borderId="21" xfId="0" applyNumberFormat="1" applyFont="1" applyFill="1" applyBorder="1" applyAlignment="1">
      <x:alignment vertical="top" wrapText="1"/>
    </x:xf>
    <x:xf numFmtId="208" fontId="12" fillId="3" borderId="20" xfId="0" applyNumberFormat="1" applyFont="1" applyFill="1" applyBorder="1" applyAlignment="1">
      <x:alignment vertical="top" wrapText="1"/>
    </x:xf>
    <x:xf numFmtId="209" fontId="12" fillId="3" borderId="20" xfId="0" applyNumberFormat="1" applyFont="1" applyFill="1" applyBorder="1" applyAlignment="1">
      <x:alignment vertical="top" wrapText="1"/>
    </x:xf>
    <x:xf numFmtId="207" fontId="12" fillId="3" borderId="20" xfId="0" applyNumberFormat="1" applyFont="1" applyFill="1" applyBorder="1" applyAlignment="1">
      <x:alignment vertical="top" wrapText="1"/>
    </x:xf>
    <x:xf numFmtId="210" fontId="12" fillId="3" borderId="20" xfId="0" applyNumberFormat="1" applyFont="1" applyFill="1" applyBorder="1" applyAlignment="1">
      <x:alignment vertical="top" wrapText="1"/>
    </x:xf>
    <x:xf numFmtId="206" fontId="12" fillId="3" borderId="2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horizontal="left" vertical="center" wrapText="1"/>
    </x:xf>
    <x:xf numFmtId="0" fontId="14" fillId="3" borderId="2" xfId="0" applyNumberFormat="1" applyFont="1" applyFill="1" applyBorder="1" applyAlignment="1">
      <x:alignment horizontal="left" vertical="center" wrapText="1"/>
    </x:xf>
    <x:xf numFmtId="0" fontId="14" fillId="3" borderId="3" xfId="0" applyNumberFormat="1" applyFont="1" applyFill="1" applyBorder="1" applyAlignment="1">
      <x:alignment horizontal="left" vertical="center" wrapText="1"/>
    </x:xf>
    <x:xf numFmtId="0" fontId="14" fillId="3" borderId="4" xfId="0" applyNumberFormat="1" applyFont="1" applyFill="1" applyBorder="1" applyAlignment="1">
      <x:alignment horizontal="left" vertical="center" wrapText="1"/>
    </x:xf>
    <x:xf numFmtId="0" fontId="14" fillId="3" borderId="0" xfId="0" applyNumberFormat="1" applyFont="1" applyFill="1" applyBorder="1" applyAlignment="1">
      <x:alignment horizontal="left" vertical="center" wrapText="1"/>
    </x:xf>
    <x:xf numFmtId="0" fontId="14" fillId="3" borderId="5" xfId="0" applyNumberFormat="1" applyFont="1" applyFill="1" applyBorder="1" applyAlignment="1">
      <x:alignment horizontal="left" vertical="center" wrapText="1"/>
    </x:xf>
    <x:xf numFmtId="0" fontId="14" fillId="3" borderId="6" xfId="0" applyNumberFormat="1" applyFont="1" applyFill="1" applyBorder="1" applyAlignment="1">
      <x:alignment horizontal="left" vertical="center" wrapText="1"/>
    </x:xf>
    <x:xf numFmtId="0" fontId="14" fillId="3" borderId="7" xfId="0" applyNumberFormat="1" applyFont="1" applyFill="1" applyBorder="1" applyAlignment="1">
      <x:alignment horizontal="left" vertical="center" wrapText="1"/>
    </x:xf>
    <x:xf numFmtId="0" fontId="14" fillId="3" borderId="8" xfId="0" applyNumberFormat="1" applyFont="1" applyFill="1" applyBorder="1" applyAlignment="1">
      <x:alignment horizontal="left" vertical="center" wrapText="1"/>
    </x:xf>
    <x:xf numFmtId="0" fontId="13" fillId="4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2" xfId="0" applyNumberFormat="1" applyFont="1" applyFill="1" applyBorder="1" applyAlignment="1">
      <x:alignment vertical="top" wrapText="1"/>
    </x:xf>
    <x:xf numFmtId="0" fontId="14" fillId="0" borderId="13" xfId="0" applyNumberFormat="1" applyFont="1" applyFill="1" applyBorder="1" applyAlignment="1">
      <x:alignment vertical="top" wrapText="1"/>
    </x:xf>
    <x:xf numFmtId="0" fontId="14" fillId="0" borderId="14" xfId="0" applyNumberFormat="1" applyFont="1" applyFill="1" applyBorder="1" applyAlignment="1">
      <x:alignment vertical="top" wrapText="1"/>
    </x:xf>
    <x:xf numFmtId="0" fontId="14" fillId="0" borderId="15" xfId="0" applyNumberFormat="1" applyFont="1" applyFill="1" applyBorder="1" applyAlignment="1">
      <x:alignment vertical="top" wrapText="1"/>
    </x:xf>
    <x:xf numFmtId="0" fontId="14" fillId="0" borderId="16" xfId="0" applyNumberFormat="1" applyFont="1" applyFill="1" applyBorder="1" applyAlignment="1">
      <x:alignment vertical="top" wrapText="1"/>
    </x:xf>
    <x:xf numFmtId="0" fontId="14" fillId="0" borderId="17" xfId="0" applyNumberFormat="1" applyFont="1" applyFill="1" applyBorder="1" applyAlignment="1">
      <x:alignment vertical="top" wrapText="1"/>
    </x:xf>
    <x:xf numFmtId="200" fontId="14" fillId="0" borderId="10" xfId="0" applyNumberFormat="1" applyFont="1" applyFill="1" applyBorder="1" applyAlignment="1">
      <x:alignment vertical="top" wrapText="1"/>
    </x:xf>
    <x:xf numFmtId="200" fontId="14" fillId="0" borderId="13" xfId="0" applyNumberFormat="1" applyFont="1" applyFill="1" applyBorder="1" applyAlignment="1">
      <x:alignment vertical="top" wrapText="1"/>
    </x:xf>
    <x:xf numFmtId="200" fontId="14" fillId="0" borderId="16" xfId="0" applyNumberFormat="1" applyFont="1" applyFill="1" applyBorder="1" applyAlignment="1">
      <x:alignment vertical="top" wrapText="1"/>
    </x:xf>
    <x:xf numFmtId="201" fontId="14" fillId="0" borderId="10" xfId="0" applyNumberFormat="1" applyFont="1" applyFill="1" applyBorder="1" applyAlignment="1">
      <x:alignment vertical="top" wrapText="1"/>
    </x:xf>
    <x:xf numFmtId="201" fontId="14" fillId="0" borderId="13" xfId="0" applyNumberFormat="1" applyFont="1" applyFill="1" applyBorder="1" applyAlignment="1">
      <x:alignment vertical="top" wrapText="1"/>
    </x:xf>
    <x:xf numFmtId="201" fontId="14" fillId="0" borderId="16" xfId="0" applyNumberFormat="1" applyFont="1" applyFill="1" applyBorder="1" applyAlignment="1">
      <x:alignment vertical="top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202" fontId="14" fillId="0" borderId="16" xfId="0" applyNumberFormat="1" applyFont="1" applyFill="1" applyBorder="1" applyAlignment="1">
      <x:alignment vertical="top" wrapText="1"/>
    </x:xf>
    <x:xf numFmtId="202" fontId="14" fillId="0" borderId="17" xfId="0" applyNumberFormat="1" applyFont="1" applyFill="1" applyBorder="1" applyAlignment="1">
      <x:alignment vertical="top" wrapText="1"/>
    </x:xf>
    <x:xf numFmtId="0" fontId="14" fillId="3" borderId="13" xfId="0" applyNumberFormat="1" applyFont="1" applyFill="1" applyBorder="1" applyAlignment="1">
      <x:alignment vertical="top" wrapText="1"/>
    </x:xf>
    <x:xf numFmtId="203" fontId="14" fillId="3" borderId="13" xfId="0" applyNumberFormat="1" applyFont="1" applyFill="1" applyBorder="1" applyAlignment="1">
      <x:alignment vertical="top" wrapText="1"/>
    </x:xf>
    <x:xf numFmtId="204" fontId="14" fillId="3" borderId="13" xfId="0" applyNumberFormat="1" applyFont="1" applyFill="1" applyBorder="1" applyAlignment="1">
      <x:alignment vertical="top" wrapText="1"/>
    </x:xf>
    <x:xf numFmtId="202" fontId="14" fillId="3" borderId="13" xfId="0" applyNumberFormat="1" applyFont="1" applyFill="1" applyBorder="1" applyAlignment="1">
      <x:alignment vertical="top" wrapText="1"/>
    </x:xf>
    <x:xf numFmtId="203" fontId="14" fillId="0" borderId="10" xfId="0" applyNumberFormat="1" applyFont="1" applyFill="1" applyBorder="1" applyAlignment="1">
      <x:alignment vertical="top" wrapText="1"/>
    </x:xf>
    <x:xf numFmtId="205" fontId="14" fillId="0" borderId="10" xfId="0" applyNumberFormat="1" applyFont="1" applyFill="1" applyBorder="1" applyAlignment="1">
      <x:alignment vertical="top" wrapText="1"/>
    </x:xf>
    <x:xf numFmtId="206" fontId="14" fillId="0" borderId="10" xfId="0" applyNumberFormat="1" applyFont="1" applyFill="1" applyBorder="1" applyAlignment="1">
      <x:alignment vertical="top" wrapText="1"/>
    </x:xf>
    <x:xf numFmtId="207" fontId="14" fillId="0" borderId="10" xfId="0" applyNumberFormat="1" applyFont="1" applyFill="1" applyBorder="1" applyAlignment="1">
      <x:alignment vertical="top" wrapText="1"/>
    </x:xf>
    <x:xf numFmtId="207" fontId="14" fillId="0" borderId="11" xfId="0" applyNumberFormat="1" applyFont="1" applyFill="1" applyBorder="1" applyAlignment="1">
      <x:alignment vertical="top" wrapText="1"/>
    </x:xf>
    <x:xf numFmtId="203" fontId="14" fillId="0" borderId="13" xfId="0" applyNumberFormat="1" applyFont="1" applyFill="1" applyBorder="1" applyAlignment="1">
      <x:alignment vertical="top" wrapText="1"/>
    </x:xf>
    <x:xf numFmtId="205" fontId="14" fillId="0" borderId="13" xfId="0" applyNumberFormat="1" applyFont="1" applyFill="1" applyBorder="1" applyAlignment="1">
      <x:alignment vertical="top" wrapText="1"/>
    </x:xf>
    <x:xf numFmtId="206" fontId="14" fillId="0" borderId="13" xfId="0" applyNumberFormat="1" applyFont="1" applyFill="1" applyBorder="1" applyAlignment="1">
      <x:alignment vertical="top" wrapText="1"/>
    </x:xf>
    <x:xf numFmtId="207" fontId="14" fillId="0" borderId="13" xfId="0" applyNumberFormat="1" applyFont="1" applyFill="1" applyBorder="1" applyAlignment="1">
      <x:alignment vertical="top" wrapText="1"/>
    </x:xf>
    <x:xf numFmtId="207" fontId="14" fillId="0" borderId="14" xfId="0" applyNumberFormat="1" applyFont="1" applyFill="1" applyBorder="1" applyAlignment="1">
      <x:alignment vertical="top" wrapText="1"/>
    </x:xf>
    <x:xf numFmtId="203" fontId="14" fillId="0" borderId="16" xfId="0" applyNumberFormat="1" applyFont="1" applyFill="1" applyBorder="1" applyAlignment="1">
      <x:alignment vertical="top" wrapText="1"/>
    </x:xf>
    <x:xf numFmtId="205" fontId="14" fillId="0" borderId="16" xfId="0" applyNumberFormat="1" applyFont="1" applyFill="1" applyBorder="1" applyAlignment="1">
      <x:alignment vertical="top" wrapText="1"/>
    </x:xf>
    <x:xf numFmtId="206" fontId="14" fillId="0" borderId="16" xfId="0" applyNumberFormat="1" applyFont="1" applyFill="1" applyBorder="1" applyAlignment="1">
      <x:alignment vertical="top" wrapText="1"/>
    </x:xf>
    <x:xf numFmtId="207" fontId="14" fillId="0" borderId="16" xfId="0" applyNumberFormat="1" applyFont="1" applyFill="1" applyBorder="1" applyAlignment="1">
      <x:alignment vertical="top" wrapText="1"/>
    </x:xf>
    <x:xf numFmtId="207" fontId="14" fillId="0" borderId="17" xfId="0" applyNumberFormat="1" applyFont="1" applyFill="1" applyBorder="1" applyAlignment="1">
      <x:alignment vertical="top" wrapText="1"/>
    </x:xf>
    <x:xf numFmtId="0" fontId="15" fillId="3" borderId="19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vertical="top" wrapText="1"/>
    </x:xf>
    <x:xf numFmtId="208" fontId="15" fillId="3" borderId="20" xfId="0" applyNumberFormat="1" applyFont="1" applyFill="1" applyBorder="1" applyAlignment="1">
      <x:alignment vertical="top" wrapText="1"/>
    </x:xf>
    <x:xf numFmtId="209" fontId="15" fillId="3" borderId="20" xfId="0" applyNumberFormat="1" applyFont="1" applyFill="1" applyBorder="1" applyAlignment="1">
      <x:alignment vertical="top" wrapText="1"/>
    </x:xf>
    <x:xf numFmtId="207" fontId="15" fillId="3" borderId="20" xfId="0" applyNumberFormat="1" applyFont="1" applyFill="1" applyBorder="1" applyAlignment="1">
      <x:alignment vertical="top" wrapText="1"/>
    </x:xf>
    <x:xf numFmtId="210" fontId="15" fillId="3" borderId="20" xfId="0" applyNumberFormat="1" applyFont="1" applyFill="1" applyBorder="1" applyAlignment="1">
      <x:alignment vertical="top" wrapText="1"/>
    </x:xf>
    <x:xf numFmtId="206" fontId="15" fillId="3" borderId="20" xfId="0" applyNumberFormat="1" applyFont="1" applyFill="1" applyBorder="1" applyAlignment="1">
      <x:alignment vertical="top" wrapText="1"/>
    </x:xf>
    <x:xf numFmtId="0" fontId="15" fillId="3" borderId="21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922B35"/>
      </x:font>
      <x:fill>
        <x:patternFill patternType="solid">
          <x:bgColor rgb="FFFBE1E3"/>
        </x:patternFill>
      </x:fill>
    </x:dxf>
    <x:dxf>
      <x:font>
        <x:color rgb="FF17613B"/>
      </x:font>
      <x:fill>
        <x:patternFill patternType="solid">
          <x:bgColor rgb="FFDDF2E5"/>
        </x:patternFill>
      </x:fill>
    </x:dxf>
    <x:dxf>
      <x:font>
        <x:b/>
        <x:color rgb="FF922B35"/>
      </x:font>
      <x:fill>
        <x:patternFill patternType="solid">
          <x:bgColor rgb="FFFBE1E3"/>
        </x:patternFill>
      </x:fill>
    </x:dxf>
    <x:dxf>
      <x:font>
        <x:color rgb="FF17613B"/>
      </x:font>
      <x:fill>
        <x:patternFill patternType="solid">
          <x:bgColor rgb="FFDDF2E5"/>
        </x:patternFill>
      </x:fill>
    </x:dxf>
    <x:dxf>
      <x:fill>
        <x:patternFill patternType="solid">
          <x:bgColor rgb="FFFFF4CC"/>
        </x:patternFill>
      </x:fill>
    </x:dxf>
    <x:dxf>
      <x:font>
        <x:b/>
        <x:color rgb="FF17613B"/>
      </x:font>
      <x:fill>
        <x:patternFill patternType="solid">
          <x:bgColor rgb="FFDDF2E5"/>
        </x:patternFill>
      </x:fill>
    </x:dxf>
    <x:dxf>
      <x:font>
        <x:b/>
        <x:color rgb="FF922B35"/>
      </x:font>
      <x:fill>
        <x:patternFill patternType="solid">
          <x:bgColor rgb="FFFBE1E3"/>
        </x:patternFill>
      </x:fill>
    </x:dxf>
    <x:dxf>
      <x:font>
        <x:b/>
        <x:color rgb="FF922B35"/>
      </x:font>
      <x:fill>
        <x:patternFill patternType="solid">
          <x:bgColor rgb="FFFBE1E3"/>
        </x:patternFill>
      </x:fill>
    </x:dxf>
    <x:dxf>
      <x:font>
        <x:b/>
        <x:color rgb="FF17613B"/>
      </x:font>
      <x:fill>
        <x:patternFill patternType="solid">
          <x:bgColor rgb="FFDD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b8e37c13a4468" /><Relationship Type="http://schemas.openxmlformats.org/officeDocument/2006/relationships/theme" Target="/xl/theme/theme1.xml" Id="R382a510e297c404e" /><Relationship Type="http://schemas.openxmlformats.org/officeDocument/2006/relationships/sharedStrings" Target="/xl/sharedStrings.xml" Id="Rd91580c9793b4b9e" /><Relationship Type="http://schemas.openxmlformats.org/officeDocument/2006/relationships/worksheet" Target="/xl/worksheets/sheet1.xml" Id="Rcbec077cf7084fee" /><Relationship Type="http://schemas.openxmlformats.org/officeDocument/2006/relationships/worksheet" Target="/xl/worksheets/sheet2.xml" Id="Rccf677b54b11459c" /><Relationship Type="http://schemas.openxmlformats.org/officeDocument/2006/relationships/worksheet" Target="/xl/worksheets/sheet3.xml" Id="Rc8788b302a4b4137" /><Relationship Type="http://schemas.openxmlformats.org/officeDocument/2006/relationships/worksheet" Target="/xl/worksheets/sheet4.xml" Id="R7ea6a07ba5be466d" /><Relationship Type="http://schemas.openxmlformats.org/officeDocument/2006/relationships/worksheet" Target="/xl/worksheets/sheet5.xml" Id="R8b8faca3fa9b4fb6" /><Relationship Type="http://schemas.openxmlformats.org/officeDocument/2006/relationships/worksheet" Target="/xl/worksheets/sheet6.xml" Id="R7eda77f57e9c4f74" /><Relationship Type="http://schemas.openxmlformats.org/officeDocument/2006/relationships/worksheet" Target="/xl/worksheets/sheet7.xml" Id="R72a3770242334379" /><Relationship Type="http://schemas.openxmlformats.org/officeDocument/2006/relationships/worksheet" Target="/xl/worksheets/sheet8.xml" Id="Rb979e0eb869b4ccd" /><Relationship Type="http://schemas.openxmlformats.org/officeDocument/2006/relationships/worksheet" Target="/xl/worksheets/sheet9.xml" Id="Rf1ef067248fe4794" /><Relationship Type="http://schemas.openxmlformats.org/officeDocument/2006/relationships/worksheet" Target="/xl/worksheets/sheet10.xml" Id="Rcf07e2c5f8584d57" /><Relationship Type="http://schemas.openxmlformats.org/officeDocument/2006/relationships/worksheet" Target="/xl/worksheets/sheet11.xml" Id="R693e8d07aa9b4bce" /><Relationship Type="http://schemas.openxmlformats.org/officeDocument/2006/relationships/worksheet" Target="/xl/worksheets/sheet12.xml" Id="Rdef4b1ddf6c04eb3" /><Relationship Type="http://schemas.openxmlformats.org/officeDocument/2006/relationships/worksheet" Target="/xl/worksheets/sheet13.xml" Id="R2a09e2038070432b" /><Relationship Type="http://schemas.openxmlformats.org/officeDocument/2006/relationships/worksheet" Target="/xl/worksheets/sheet14.xml" Id="R5febc2a792454f59" /><Relationship Type="http://schemas.openxmlformats.org/officeDocument/2006/relationships/worksheet" Target="/xl/worksheets/sheet15.xml" Id="Rcbae2663128a4a96" /><Relationship Type="http://schemas.openxmlformats.org/officeDocument/2006/relationships/worksheet" Target="/xl/worksheets/sheet16.xml" Id="R79b4f27e66f8466e" /><Relationship Type="http://schemas.openxmlformats.org/officeDocument/2006/relationships/worksheet" Target="/xl/worksheets/sheet17.xml" Id="R73eb4114e8b54a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74519ece9648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Illustrative cost per vial by strategy - Product 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Product A cost/unit</c:v>
          </c:tx>
          <c:cat>
            <c:strRef>
              <c:f>'12_Results'!$L$5:$L$12</c:f>
              <c:strCache>
                <c:ptCount val="0"/>
              </c:strCache>
            </c:strRef>
          </c:cat>
          <c:val>
            <c:numRef>
              <c:f>'12_Results'!$M$5:$M$12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12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74519ece9648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terviewEvidenceTable" displayName="InterviewEvidenceTable" ref="A4:J34" headerRowCount="1" totalsRowCount="0" totalsRowShown="0">
  <x:tableColumns count="10">
    <x:tableColumn id="1" name="Interview ID"/>
    <x:tableColumn id="2" name="Date"/>
    <x:tableColumn id="3" name="Role category"/>
    <x:tableColumn id="4" name="Organization type"/>
    <x:tableColumn id="5" name="Experience relevance"/>
    <x:tableColumn id="6" name="Key challenged assumption"/>
    <x:tableColumn id="7" name="Evidence / range offered"/>
    <x:tableColumn id="8" name="Model change"/>
    <x:tableColumn id="9" name="Consent / attribution"/>
    <x:tableColumn id="10" name="Follow-up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sionLogTable" displayName="RevisionLogTable" ref="A4:I104" headerRowCount="1" totalsRowCount="0" totalsRowShown="0">
  <x:tableColumns count="9">
    <x:tableColumn id="1" name="Revision ID"/>
    <x:tableColumn id="2" name="Date"/>
    <x:tableColumn id="3" name="Version"/>
    <x:tableColumn id="4" name="Reviewer qualification"/>
    <x:tableColumn id="5" name="Issue raised"/>
    <x:tableColumn id="6" name="Decision"/>
    <x:tableColumn id="7" name="Status"/>
    <x:tableColumn id="8" name="Affected files/sheets"/>
    <x:tableColumn id="9" name="Change and 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0013ffcd99fe494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.xml" Id="Re86254fa69b0432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.xml" Id="Rf7a06454c09c4d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26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3" hidden="0" customWidth="1"/>
  </x:cols>
  <x:sheetData>
    <x:row r="1">
      <x:c r="A1" s="232" t="str">
        <x:v>TELO FEASIBILITY MODEL</x:v>
      </x:c>
      <x:c r="B1" s="164"/>
      <x:c r="C1" s="164"/>
      <x:c r="D1" s="164"/>
      <x:c r="E1" s="164"/>
      <x:c r="F1" s="164"/>
      <x:c r="G1" s="164"/>
      <x:c r="H1" s="164"/>
    </x:row>
    <x:row r="2">
      <x:c r="A2" s="164"/>
      <x:c r="B2" s="164"/>
      <x:c r="C2" s="164"/>
      <x:c r="D2" s="164"/>
      <x:c r="E2" s="164"/>
      <x:c r="F2" s="164"/>
      <x:c r="G2" s="164"/>
      <x:c r="H2" s="164"/>
    </x:row>
    <x:row r="3">
      <x:c r="A3" s="164"/>
      <x:c r="B3" s="164"/>
      <x:c r="C3" s="164"/>
      <x:c r="D3" s="164"/>
      <x:c r="E3" s="164"/>
      <x:c r="F3" s="164"/>
      <x:c r="G3" s="164"/>
      <x:c r="H3" s="164"/>
    </x:row>
    <x:row r="4">
      <x:c r="A4" s="165"/>
      <x:c r="B4" s="165"/>
      <x:c r="C4" s="165"/>
      <x:c r="D4" s="165"/>
      <x:c r="E4" s="165"/>
      <x:c r="F4" s="165"/>
      <x:c r="G4" s="165"/>
      <x:c r="H4" s="165"/>
    </x:row>
    <x:row r="5">
      <x:c r="A5" s="233" t="str">
        <x:v>Distributed sterile-injectable manufacturing under real-world constraints</x:v>
      </x:c>
      <x:c r="B5" s="166"/>
      <x:c r="C5" s="166"/>
      <x:c r="D5" s="166"/>
      <x:c r="E5" s="166"/>
      <x:c r="F5" s="166"/>
      <x:c r="G5" s="166"/>
      <x:c r="H5" s="166"/>
    </x:row>
    <x:row r="6">
      <x:c r="A6" s="166"/>
      <x:c r="B6" s="166"/>
      <x:c r="C6" s="166"/>
      <x:c r="D6" s="166"/>
      <x:c r="E6" s="166"/>
      <x:c r="F6" s="166"/>
      <x:c r="G6" s="166"/>
      <x:c r="H6" s="166"/>
    </x:row>
    <x:row r="7">
      <x:c r="A7" s="165"/>
      <x:c r="B7" s="165"/>
      <x:c r="C7" s="165"/>
      <x:c r="D7" s="165"/>
      <x:c r="E7" s="165"/>
      <x:c r="F7" s="165"/>
      <x:c r="G7" s="165"/>
      <x:c r="H7" s="165"/>
    </x:row>
    <x:row r="8">
      <x:c r="A8" s="165"/>
      <x:c r="B8" s="167" t="str">
        <x:v>Purpose: compare safety stock, dual sourcing, reserved contract capacity, centralized expansion, and distributed regional nodes on a common cost-reliability frontier. This workbook is an auditable scaffold. Yellow cells are illustrative placeholders until sourced or expert-validated.</x:v>
      </x:c>
      <x:c r="C8" s="168"/>
      <x:c r="D8" s="168"/>
      <x:c r="E8" s="168"/>
      <x:c r="F8" s="168"/>
      <x:c r="G8" s="169"/>
      <x:c r="H8" s="165"/>
    </x:row>
    <x:row r="9">
      <x:c r="A9" s="165"/>
      <x:c r="B9" s="170"/>
      <x:c r="C9" s="171"/>
      <x:c r="D9" s="171"/>
      <x:c r="E9" s="171"/>
      <x:c r="F9" s="171"/>
      <x:c r="G9" s="172"/>
      <x:c r="H9" s="165"/>
    </x:row>
    <x:row r="10">
      <x:c r="A10" s="165"/>
      <x:c r="B10" s="170"/>
      <x:c r="C10" s="171"/>
      <x:c r="D10" s="171"/>
      <x:c r="E10" s="171"/>
      <x:c r="F10" s="171"/>
      <x:c r="G10" s="172"/>
      <x:c r="H10" s="165"/>
    </x:row>
    <x:row r="11">
      <x:c r="A11" s="165"/>
      <x:c r="B11" s="173"/>
      <x:c r="C11" s="174"/>
      <x:c r="D11" s="174"/>
      <x:c r="E11" s="174"/>
      <x:c r="F11" s="174"/>
      <x:c r="G11" s="175"/>
      <x:c r="H11" s="165"/>
    </x:row>
    <x:row r="12">
      <x:c r="A12" s="165"/>
      <x:c r="B12" s="165"/>
      <x:c r="C12" s="165"/>
      <x:c r="D12" s="165"/>
      <x:c r="E12" s="165"/>
      <x:c r="F12" s="165"/>
      <x:c r="G12" s="165"/>
      <x:c r="H12" s="165"/>
    </x:row>
    <x:row r="13">
      <x:c r="A13" s="165"/>
      <x:c r="B13" s="176" t="str">
        <x:v>Version</x:v>
      </x:c>
      <x:c r="C13" s="177" t="str">
        <x:v>0.1 research scaffold</x:v>
      </x:c>
      <x:c r="D13" s="165"/>
      <x:c r="E13" s="165"/>
      <x:c r="F13" s="165"/>
      <x:c r="G13" s="165"/>
      <x:c r="H13" s="165"/>
    </x:row>
    <x:row r="14">
      <x:c r="A14" s="165"/>
      <x:c r="B14" s="176" t="str">
        <x:v>As of</x:v>
      </x:c>
      <x:c r="C14" s="178" t="n">
        <x:v>46266</x:v>
      </x:c>
      <x:c r="D14" s="165"/>
      <x:c r="E14" s="165"/>
      <x:c r="F14" s="165"/>
      <x:c r="G14" s="165"/>
      <x:c r="H14" s="165"/>
    </x:row>
    <x:row r="15">
      <x:c r="A15" s="165"/>
      <x:c r="B15" s="176" t="str">
        <x:v>Decision rule</x:v>
      </x:c>
      <x:c r="C15" s="177" t="str">
        <x:v>Regulatory feasible + quality feasible + Pareto-efficient + contractable demand</x:v>
      </x:c>
      <x:c r="D15" s="165"/>
      <x:c r="E15" s="165"/>
      <x:c r="F15" s="165"/>
      <x:c r="G15" s="165"/>
      <x:c r="H15" s="165"/>
    </x:row>
    <x:row r="16">
      <x:c r="A16" s="165"/>
      <x:c r="B16" s="176" t="str">
        <x:v>Primary audience</x:v>
      </x:c>
      <x:c r="C16" s="177" t="str">
        <x:v>Manufacturing, hospital supply-chain, regulatory, and operations experts</x:v>
      </x:c>
      <x:c r="D16" s="165"/>
      <x:c r="E16" s="165"/>
      <x:c r="F16" s="165"/>
      <x:c r="G16" s="165"/>
      <x:c r="H16" s="165"/>
    </x:row>
    <x:row r="17">
      <x:c r="A17" s="165"/>
      <x:c r="B17" s="176" t="str">
        <x:v>Not legal advice</x:v>
      </x:c>
      <x:c r="C17" s="177" t="str">
        <x:v>Regulatory maps require qualified review before external claims</x:v>
      </x:c>
      <x:c r="D17" s="165"/>
      <x:c r="E17" s="165"/>
      <x:c r="F17" s="165"/>
      <x:c r="G17" s="165"/>
      <x:c r="H17" s="165"/>
    </x:row>
    <x:row r="18">
      <x:c r="A18" s="165"/>
      <x:c r="B18" s="165"/>
      <x:c r="C18" s="165"/>
      <x:c r="D18" s="165"/>
      <x:c r="E18" s="165"/>
      <x:c r="F18" s="165"/>
      <x:c r="G18" s="165"/>
      <x:c r="H18" s="165"/>
    </x:row>
    <x:row r="19">
      <x:c r="A19" s="165"/>
      <x:c r="B19" s="179" t="str">
        <x:v>Model status</x:v>
      </x:c>
      <x:c r="C19" s="179" t="str">
        <x:v>ILLUSTRATIVE - DO NOT CITE OUTPUTS</x:v>
      </x:c>
      <x:c r="D19" s="179"/>
      <x:c r="E19" s="179"/>
      <x:c r="F19" s="179"/>
      <x:c r="G19" s="179"/>
      <x:c r="H19" s="165"/>
    </x:row>
    <x:row r="20">
      <x:c r="A20" s="165"/>
      <x:c r="B20" s="176" t="str">
        <x:v>Start here</x:v>
      </x:c>
      <x:c r="C20" s="177" t="str">
        <x:v>01_ReadMe</x:v>
      </x:c>
      <x:c r="D20" s="177"/>
      <x:c r="E20" s="177"/>
      <x:c r="F20" s="177"/>
      <x:c r="G20" s="177"/>
      <x:c r="H20" s="165"/>
    </x:row>
    <x:row r="21">
      <x:c r="A21" s="165"/>
      <x:c r="B21" s="176" t="str">
        <x:v>Enter assumptions</x:v>
      </x:c>
      <x:c r="C21" s="177" t="str">
        <x:v>05_Assumptions, 06_Product_A, 07_Product_B, 08_Strategies</x:v>
      </x:c>
      <x:c r="D21" s="177"/>
      <x:c r="E21" s="177"/>
      <x:c r="F21" s="177"/>
      <x:c r="G21" s="177"/>
      <x:c r="H21" s="165"/>
    </x:row>
    <x:row r="22">
      <x:c r="A22" s="165"/>
      <x:c r="B22" s="176" t="str">
        <x:v>Review outputs</x:v>
      </x:c>
      <x:c r="C22" s="177" t="str">
        <x:v>09_Deterministic, 12_Results, 13_Checks</x:v>
      </x:c>
      <x:c r="D22" s="177"/>
      <x:c r="E22" s="177"/>
      <x:c r="F22" s="177"/>
      <x:c r="G22" s="177"/>
      <x:c r="H22" s="165"/>
    </x:row>
    <x:row r="23">
      <x:c r="A23" s="165"/>
      <x:c r="B23" s="176" t="str">
        <x:v>Publication engine</x:v>
      </x:c>
      <x:c r="C23" s="177" t="str">
        <x:v>Implement the Monte Carlo specification in Python; import tidy outputs into 16_Sim_Output</x:v>
      </x:c>
      <x:c r="D23" s="177"/>
      <x:c r="E23" s="177"/>
      <x:c r="F23" s="177"/>
      <x:c r="G23" s="177"/>
      <x:c r="H23" s="165"/>
    </x:row>
  </x:sheetData>
  <x:mergeCells>
    <x:mergeCell ref="A1:H3"/>
    <x:mergeCell ref="A5:H6"/>
    <x:mergeCell ref="B8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30" hidden="0" customWidth="1"/>
    <x:col min="4" max="4" width="18" hidden="0" customWidth="1"/>
    <x:col min="5" max="5" width="16" hidden="0" customWidth="1"/>
    <x:col min="6" max="6" width="32" hidden="0" customWidth="1"/>
    <x:col min="7" max="7" width="22" hidden="0" customWidth="1"/>
    <x:col min="8" max="8" width="30" hidden="0" customWidth="1"/>
  </x:cols>
  <x:sheetData>
    <x:row r="1" ht="30" customHeight="1">
      <x:c r="A1" s="230" t="str">
        <x:v>Model operating guide</x:v>
      </x:c>
      <x:c r="B1" s="165"/>
      <x:c r="C1" s="165"/>
      <x:c r="D1" s="165"/>
      <x:c r="E1" s="165"/>
      <x:c r="F1" s="165"/>
      <x:c r="G1" s="165"/>
      <x:c r="H1" s="165"/>
    </x:row>
    <x:row r="2" ht="30" customHeight="1">
      <x:c r="A2" s="231" t="str">
        <x:v>Use this workbook for transparent deterministic screening; use a seeded Python simulation for publication-grade uncertainty and disruption dynamics.</x:v>
      </x:c>
      <x:c r="B2" s="165"/>
      <x:c r="C2" s="165"/>
      <x:c r="D2" s="165"/>
      <x:c r="E2" s="165"/>
      <x:c r="F2" s="165"/>
      <x:c r="G2" s="165"/>
      <x:c r="H2" s="165"/>
    </x:row>
    <x:row r="3">
      <x:c r="A3" s="165"/>
      <x:c r="B3" s="165"/>
      <x:c r="C3" s="165"/>
      <x:c r="D3" s="165"/>
      <x:c r="E3" s="165"/>
      <x:c r="F3" s="165"/>
      <x:c r="G3" s="165"/>
      <x:c r="H3" s="165"/>
    </x:row>
    <x:row r="4">
      <x:c r="A4" s="182" t="str">
        <x:v>Step</x:v>
      </x:c>
      <x:c r="B4" s="182" t="str">
        <x:v>Action</x:v>
      </x:c>
      <x:c r="C4" s="182" t="str">
        <x:v>Required evidence</x:v>
      </x:c>
      <x:c r="D4" s="182" t="str">
        <x:v>Owner</x:v>
      </x:c>
      <x:c r="E4" s="182" t="str">
        <x:v>Status</x:v>
      </x:c>
      <x:c r="F4" s="182" t="str">
        <x:v>Do not proceed if</x:v>
      </x:c>
      <x:c r="G4" s="182" t="str">
        <x:v>Output</x:v>
      </x:c>
      <x:c r="H4" s="182" t="str">
        <x:v>Notes</x:v>
      </x:c>
    </x:row>
    <x:row r="5">
      <x:c r="A5" s="183" t="n">
        <x:v>1</x:v>
      </x:c>
      <x:c r="B5" s="184" t="str">
        <x:v>Freeze the research question and pre-specified decision rules</x:v>
      </x:c>
      <x:c r="C5" s="184" t="str">
        <x:v>Signed protocol/version tag</x:v>
      </x:c>
      <x:c r="D5" s="184" t="str">
        <x:v>Research lead</x:v>
      </x:c>
      <x:c r="E5" s="184" t="str">
        <x:v>Not started</x:v>
      </x:c>
      <x:c r="F5" s="184" t="str">
        <x:v>The study is framed to prove Telo works</x:v>
      </x:c>
      <x:c r="G5" s="184" t="str">
        <x:v>Protocol</x:v>
      </x:c>
      <x:c r="H5" s="185" t="str">
        <x:v>Permit negative conclusions</x:v>
      </x:c>
    </x:row>
    <x:row r="6">
      <x:c r="A6" s="186" t="n">
        <x:v>2</x:v>
      </x:c>
      <x:c r="B6" s="187" t="str">
        <x:v>Create a five-product longlist and apply hard manufacturing/regulatory gates</x:v>
      </x:c>
      <x:c r="C6" s="187" t="str">
        <x:v>FDA/ASHP status, labels, Orange Book/Drugs@FDA</x:v>
      </x:c>
      <x:c r="D6" s="187" t="str">
        <x:v>Product lead</x:v>
      </x:c>
      <x:c r="E6" s="187" t="str">
        <x:v>In progress</x:v>
      </x:c>
      <x:c r="F6" s="187" t="str">
        <x:v>Candidate fails the first-cell manufacturing archetype</x:v>
      </x:c>
      <x:c r="G6" s="187" t="str">
        <x:v>Two cases</x:v>
      </x:c>
      <x:c r="H6" s="188" t="str">
        <x:v>One plausible, one challenging comparator</x:v>
      </x:c>
    </x:row>
    <x:row r="7">
      <x:c r="A7" s="186" t="n">
        <x:v>3</x:v>
      </x:c>
      <x:c r="B7" s="187" t="str">
        <x:v>Map approved-generic/CMO and 503B pathways separately</x:v>
      </x:c>
      <x:c r="C7" s="187" t="str">
        <x:v>Qualified regulatory review</x:v>
      </x:c>
      <x:c r="D7" s="187" t="str">
        <x:v>Regulatory reviewer</x:v>
      </x:c>
      <x:c r="E7" s="187" t="str">
        <x:v>Not started</x:v>
      </x:c>
      <x:c r="F7" s="187" t="str">
        <x:v>Permissions are inferred from shortage status</x:v>
      </x:c>
      <x:c r="G7" s="187" t="str">
        <x:v>Decision map</x:v>
      </x:c>
      <x:c r="H7" s="188" t="str">
        <x:v>503B is not an ANDA ladder</x:v>
      </x:c>
    </x:row>
    <x:row r="8">
      <x:c r="A8" s="186" t="n">
        <x:v>4</x:v>
      </x:c>
      <x:c r="B8" s="187" t="str">
        <x:v>Source low/base/high assumptions with dates, units, and confidence</x:v>
      </x:c>
      <x:c r="C8" s="187" t="str">
        <x:v>Primary sources plus interviews</x:v>
      </x:c>
      <x:c r="D8" s="187" t="str">
        <x:v>Model lead</x:v>
      </x:c>
      <x:c r="E8" s="187" t="str">
        <x:v>Not started</x:v>
      </x:c>
      <x:c r="F8" s="187" t="str">
        <x:v>A material input has no provenance</x:v>
      </x:c>
      <x:c r="G8" s="187" t="str">
        <x:v>Assumption register</x:v>
      </x:c>
      <x:c r="H8" s="188" t="str">
        <x:v>Never treat CMS reimbursement as manufacturing cost</x:v>
      </x:c>
    </x:row>
    <x:row r="9">
      <x:c r="A9" s="186" t="n">
        <x:v>5</x:v>
      </x:c>
      <x:c r="B9" s="187" t="str">
        <x:v>Run deterministic mass-balance and cost screen</x:v>
      </x:c>
      <x:c r="C9" s="187" t="str">
        <x:v>Workbook checks all pass</x:v>
      </x:c>
      <x:c r="D9" s="187" t="str">
        <x:v>Model lead</x:v>
      </x:c>
      <x:c r="E9" s="187" t="str">
        <x:v>Not started</x:v>
      </x:c>
      <x:c r="F9" s="187" t="str">
        <x:v>Capacity, units, or annualization checks fail</x:v>
      </x:c>
      <x:c r="G9" s="187" t="str">
        <x:v>Screening results</x:v>
      </x:c>
      <x:c r="H9" s="188" t="str">
        <x:v>These are not final causal estimates</x:v>
      </x:c>
    </x:row>
    <x:row r="10">
      <x:c r="A10" s="186" t="n">
        <x:v>6</x:v>
      </x:c>
      <x:c r="B10" s="187" t="str">
        <x:v>Build discrete-time Monte Carlo network simulation</x:v>
      </x:c>
      <x:c r="C10" s="187" t="str">
        <x:v>Seeded code, tests, common random numbers</x:v>
      </x:c>
      <x:c r="D10" s="187" t="str">
        <x:v>Model lead</x:v>
      </x:c>
      <x:c r="E10" s="187" t="str">
        <x:v>Not started</x:v>
      </x:c>
      <x:c r="F10" s="187" t="str">
        <x:v>Strategies face different random worlds</x:v>
      </x:c>
      <x:c r="G10" s="187" t="str">
        <x:v>Simulation output</x:v>
      </x:c>
      <x:c r="H10" s="188" t="str">
        <x:v>Daily or weekly horizon</x:v>
      </x:c>
    </x:row>
    <x:row r="11">
      <x:c r="A11" s="186" t="n">
        <x:v>7</x:v>
      </x:c>
      <x:c r="B11" s="187" t="str">
        <x:v>Calibrate/backcast against historical shortage episodes</x:v>
      </x:c>
      <x:c r="C11" s="187" t="str">
        <x:v>Historical duration, availability, supplier events</x:v>
      </x:c>
      <x:c r="D11" s="187" t="str">
        <x:v>Validation lead</x:v>
      </x:c>
      <x:c r="E11" s="187" t="str">
        <x:v>Not started</x:v>
      </x:c>
      <x:c r="F11" s="187" t="str">
        <x:v>Model cannot reproduce broad historical behavior</x:v>
      </x:c>
      <x:c r="G11" s="187" t="str">
        <x:v>Calibration report</x:v>
      </x:c>
      <x:c r="H11" s="188" t="str">
        <x:v>Do not overfit two cases</x:v>
      </x:c>
    </x:row>
    <x:row r="12">
      <x:c r="A12" s="186" t="n">
        <x:v>8</x:v>
      </x:c>
      <x:c r="B12" s="187" t="str">
        <x:v>Conduct global sensitivity and structural uncertainty analysis</x:v>
      </x:c>
      <x:c r="C12" s="187" t="str">
        <x:v>Sobol/PRCC plus alternative model forms</x:v>
      </x:c>
      <x:c r="D12" s="187" t="str">
        <x:v>Statistics reviewer</x:v>
      </x:c>
      <x:c r="E12" s="187" t="str">
        <x:v>Not started</x:v>
      </x:c>
      <x:c r="F12" s="187" t="str">
        <x:v>Only one-way tornado analysis exists</x:v>
      </x:c>
      <x:c r="G12" s="187" t="str">
        <x:v>Robustness appendix</x:v>
      </x:c>
      <x:c r="H12" s="188" t="str">
        <x:v>Report decision reversals</x:v>
      </x:c>
    </x:row>
    <x:row r="13">
      <x:c r="A13" s="186" t="n">
        <x:v>9</x:v>
      </x:c>
      <x:c r="B13" s="187" t="str">
        <x:v>Complete external review and revision log</x:v>
      </x:c>
      <x:c r="C13" s="187" t="str">
        <x:v>At least 3 qualified independent reviewers</x:v>
      </x:c>
      <x:c r="D13" s="187" t="str">
        <x:v>Research lead</x:v>
      </x:c>
      <x:c r="E13" s="187" t="str">
        <x:v>Not started</x:v>
      </x:c>
      <x:c r="F13" s="187" t="str">
        <x:v>Reviewers are described as partners without authorization</x:v>
      </x:c>
      <x:c r="G13" s="187" t="str">
        <x:v>Review record</x:v>
      </x:c>
      <x:c r="H13" s="188" t="str">
        <x:v>Record criticism and changes</x:v>
      </x:c>
    </x:row>
    <x:row r="14">
      <x:c r="A14" s="189" t="n">
        <x:v>10</x:v>
      </x:c>
      <x:c r="B14" s="190" t="str">
        <x:v>Release memo, code, assumptions, and executive summary</x:v>
      </x:c>
      <x:c r="C14" s="190" t="str">
        <x:v>Public repository/DOI where appropriate</x:v>
      </x:c>
      <x:c r="D14" s="190" t="str">
        <x:v>Research lead</x:v>
      </x:c>
      <x:c r="E14" s="190" t="str">
        <x:v>Not started</x:v>
      </x:c>
      <x:c r="F14" s="190" t="str">
        <x:v>Public claims exceed evidence</x:v>
      </x:c>
      <x:c r="G14" s="190" t="str">
        <x:v>Research package</x:v>
      </x:c>
      <x:c r="H14" s="191" t="str">
        <x:v>Timestamp every dataset</x:v>
      </x:c>
    </x:row>
  </x:sheetData>
  <x:mergeCells>
    <x:mergeCell ref="A1:H1"/>
    <x:mergeCell ref="A2:H2"/>
  </x:mergeCells>
  <x:dataValidations count="1">
    <x:dataValidation type="list" sqref="E5:E14">
      <x:formula1>"Not started,In progress,Blocked,Complete"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6" hidden="0" customWidth="1"/>
    <x:col min="4" max="4" width="64" hidden="0" customWidth="1"/>
    <x:col min="5" max="5" width="13" hidden="0" customWidth="1"/>
    <x:col min="6" max="6" width="34" hidden="0" customWidth="1"/>
    <x:col min="7" max="7" width="35" hidden="0" customWidth="1"/>
    <x:col min="8" max="8" width="16" hidden="0" customWidth="1"/>
    <x:col min="9" max="9" width="14" hidden="0" customWidth="1"/>
  </x:cols>
  <x:sheetData>
    <x:row r="1" ht="30" customHeight="1">
      <x:c r="A1" s="230" t="str">
        <x:v>Source and assumption register</x:v>
      </x:c>
      <x:c r="B1" s="165"/>
      <x:c r="C1" s="165"/>
      <x:c r="D1" s="165"/>
      <x:c r="E1" s="165"/>
      <x:c r="F1" s="165"/>
      <x:c r="G1" s="165"/>
      <x:c r="H1" s="165"/>
      <x:c r="I1" s="165"/>
    </x:row>
    <x:row r="2" ht="30" customHeight="1">
      <x:c r="A2" s="231" t="str">
        <x:v>Every material input must resolve to a dated source, an expert estimate, or an explicitly labeled illustrative placeholder.</x:v>
      </x:c>
      <x:c r="B2" s="165"/>
      <x:c r="C2" s="165"/>
      <x:c r="D2" s="165"/>
      <x:c r="E2" s="165"/>
      <x:c r="F2" s="165"/>
      <x:c r="G2" s="165"/>
      <x:c r="H2" s="165"/>
      <x:c r="I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</x:row>
    <x:row r="4">
      <x:c r="A4" s="182" t="str">
        <x:v>ID</x:v>
      </x:c>
      <x:c r="B4" s="182" t="str">
        <x:v>Domain</x:v>
      </x:c>
      <x:c r="C4" s="182" t="str">
        <x:v>Source / dataset</x:v>
      </x:c>
      <x:c r="D4" s="182" t="str">
        <x:v>URL</x:v>
      </x:c>
      <x:c r="E4" s="182" t="str">
        <x:v>Accessed</x:v>
      </x:c>
      <x:c r="F4" s="182" t="str">
        <x:v>Use in model</x:v>
      </x:c>
      <x:c r="G4" s="182" t="str">
        <x:v>Limitation</x:v>
      </x:c>
      <x:c r="H4" s="182" t="str">
        <x:v>Tier</x:v>
      </x:c>
      <x:c r="I4" s="182" t="str">
        <x:v>Status</x:v>
      </x:c>
    </x:row>
    <x:row r="5">
      <x:c r="A5" s="183" t="str">
        <x:v>S01</x:v>
      </x:c>
      <x:c r="B5" s="184" t="str">
        <x:v>Shortages</x:v>
      </x:c>
      <x:c r="C5" s="184" t="str">
        <x:v>FDA Drug Shortages</x:v>
      </x:c>
      <x:c r="D5" s="184" t="str">
        <x:v>https://www.fda.gov/drugs/drug-safety-and-availability/drug-shortages</x:v>
      </x:c>
      <x:c r="E5" s="192" t="n">
        <x:v>46266</x:v>
      </x:c>
      <x:c r="F5" s="184" t="str">
        <x:v>Official current/resolved status and stated reasons</x:v>
      </x:c>
      <x:c r="G5" s="184" t="str">
        <x:v>Dynamic database; snapshot required</x:v>
      </x:c>
      <x:c r="H5" s="184" t="str">
        <x:v>Primary</x:v>
      </x:c>
      <x:c r="I5" s="185" t="str">
        <x:v>Use</x:v>
      </x:c>
    </x:row>
    <x:row r="6">
      <x:c r="A6" s="186" t="str">
        <x:v>S02</x:v>
      </x:c>
      <x:c r="B6" s="187" t="str">
        <x:v>Economics</x:v>
      </x:c>
      <x:c r="C6" s="187" t="str">
        <x:v>FDA Drug Shortages Task Force report</x:v>
      </x:c>
      <x:c r="D6" s="187" t="str">
        <x:v>https://www.fda.gov/media/132058/download</x:v>
      </x:c>
      <x:c r="E6" s="193" t="n">
        <x:v>46266</x:v>
      </x:c>
      <x:c r="F6" s="187" t="str">
        <x:v>Root causes; shortage characteristics</x:v>
      </x:c>
      <x:c r="G6" s="187" t="str">
        <x:v>Historic 2013-2017 cohort</x:v>
      </x:c>
      <x:c r="H6" s="187" t="str">
        <x:v>Primary</x:v>
      </x:c>
      <x:c r="I6" s="188" t="str">
        <x:v>Use</x:v>
      </x:c>
    </x:row>
    <x:row r="7">
      <x:c r="A7" s="186" t="str">
        <x:v>S03</x:v>
      </x:c>
      <x:c r="B7" s="187" t="str">
        <x:v>Policy</x:v>
      </x:c>
      <x:c r="C7" s="187" t="str">
        <x:v>ASPE policy considerations for generic sterile injectables</x:v>
      </x:c>
      <x:c r="D7" s="187" t="str">
        <x:v>https://aspe.hhs.gov/reports/preventing-shortages-supply-chain-vulnerabilities</x:v>
      </x:c>
      <x:c r="E7" s="193" t="n">
        <x:v>46266</x:v>
      </x:c>
      <x:c r="F7" s="187" t="str">
        <x:v>Market/purchasing mechanisms</x:v>
      </x:c>
      <x:c r="G7" s="187" t="str">
        <x:v>Policy analysis, not product cost data</x:v>
      </x:c>
      <x:c r="H7" s="187" t="str">
        <x:v>Primary</x:v>
      </x:c>
      <x:c r="I7" s="188" t="str">
        <x:v>Use</x:v>
      </x:c>
    </x:row>
    <x:row r="8">
      <x:c r="A8" s="186" t="str">
        <x:v>S04</x:v>
      </x:c>
      <x:c r="B8" s="187" t="str">
        <x:v>Evidence</x:v>
      </x:c>
      <x:c r="C8" s="187" t="str">
        <x:v>GAO 2025 drug shortages report</x:v>
      </x:c>
      <x:c r="D8" s="187" t="str">
        <x:v>https://www.gao.gov/products/gao-25-107110</x:v>
      </x:c>
      <x:c r="E8" s="193" t="n">
        <x:v>46266</x:v>
      </x:c>
      <x:c r="F8" s="187" t="str">
        <x:v>Shortage duration/trends and HHS coordination</x:v>
      </x:c>
      <x:c r="G8" s="187" t="str">
        <x:v>Aggregate evidence</x:v>
      </x:c>
      <x:c r="H8" s="187" t="str">
        <x:v>Primary</x:v>
      </x:c>
      <x:c r="I8" s="188" t="str">
        <x:v>Use</x:v>
      </x:c>
    </x:row>
    <x:row r="9">
      <x:c r="A9" s="186" t="str">
        <x:v>S05</x:v>
      </x:c>
      <x:c r="B9" s="187" t="str">
        <x:v>Comparator</x:v>
      </x:c>
      <x:c r="C9" s="187" t="str">
        <x:v>GAO 2025 nonprofit pharmaceutical organizations</x:v>
      </x:c>
      <x:c r="D9" s="187" t="str">
        <x:v>https://files.gao.gov/reports/GAO-25-107153/index.html</x:v>
      </x:c>
      <x:c r="E9" s="193" t="n">
        <x:v>46266</x:v>
      </x:c>
      <x:c r="F9" s="187" t="str">
        <x:v>Civica contracts, stockpile, dual-source comparator</x:v>
      </x:c>
      <x:c r="G9" s="187" t="str">
        <x:v>Interview-based and not fully generalizable</x:v>
      </x:c>
      <x:c r="H9" s="187" t="str">
        <x:v>Primary</x:v>
      </x:c>
      <x:c r="I9" s="188" t="str">
        <x:v>Use</x:v>
      </x:c>
    </x:row>
    <x:row r="10">
      <x:c r="A10" s="186" t="str">
        <x:v>S06</x:v>
      </x:c>
      <x:c r="B10" s="187" t="str">
        <x:v>Regulatory</x:v>
      </x:c>
      <x:c r="C10" s="187" t="str">
        <x:v>21 CFR Part 211</x:v>
      </x:c>
      <x:c r="D10" s="187" t="str">
        <x:v>https://www.ecfr.gov/current/title-21/chapter-I/subchapter-C/part-211</x:v>
      </x:c>
      <x:c r="E10" s="193" t="n">
        <x:v>46266</x:v>
      </x:c>
      <x:c r="F10" s="187" t="str">
        <x:v>CGMP hard constraints</x:v>
      </x:c>
      <x:c r="G10" s="187" t="str">
        <x:v>Legal text; obtain expert interpretation</x:v>
      </x:c>
      <x:c r="H10" s="187" t="str">
        <x:v>Primary</x:v>
      </x:c>
      <x:c r="I10" s="188" t="str">
        <x:v>Use</x:v>
      </x:c>
    </x:row>
    <x:row r="11">
      <x:c r="A11" s="186" t="str">
        <x:v>S07</x:v>
      </x:c>
      <x:c r="B11" s="187" t="str">
        <x:v>Sterility</x:v>
      </x:c>
      <x:c r="C11" s="187" t="str">
        <x:v>FDA aseptic processing guidance</x:v>
      </x:c>
      <x:c r="D11" s="187" t="str">
        <x:v>https://www.fda.gov/media/71026/download</x:v>
      </x:c>
      <x:c r="E11" s="193" t="n">
        <x:v>46266</x:v>
      </x:c>
      <x:c r="F11" s="187" t="str">
        <x:v>Aseptic/sterility assurance requirements</x:v>
      </x:c>
      <x:c r="G11" s="187" t="str">
        <x:v>Guidance, not legal advice</x:v>
      </x:c>
      <x:c r="H11" s="187" t="str">
        <x:v>Primary</x:v>
      </x:c>
      <x:c r="I11" s="188" t="str">
        <x:v>Use</x:v>
      </x:c>
    </x:row>
    <x:row r="12">
      <x:c r="A12" s="186" t="str">
        <x:v>S08</x:v>
      </x:c>
      <x:c r="B12" s="187" t="str">
        <x:v>Validation</x:v>
      </x:c>
      <x:c r="C12" s="187" t="str">
        <x:v>FDA Process Validation guidance</x:v>
      </x:c>
      <x:c r="D12" s="187" t="str">
        <x:v>https://www.fda.gov/media/71021/download</x:v>
      </x:c>
      <x:c r="E12" s="193" t="n">
        <x:v>46266</x:v>
      </x:c>
      <x:c r="F12" s="187" t="str">
        <x:v>Validation lifecycle and costs/lead times</x:v>
      </x:c>
      <x:c r="G12" s="187" t="str">
        <x:v>No numeric cost benchmarks</x:v>
      </x:c>
      <x:c r="H12" s="187" t="str">
        <x:v>Primary</x:v>
      </x:c>
      <x:c r="I12" s="188" t="str">
        <x:v>Use</x:v>
      </x:c>
    </x:row>
    <x:row r="13">
      <x:c r="A13" s="186" t="str">
        <x:v>S09</x:v>
      </x:c>
      <x:c r="B13" s="187" t="str">
        <x:v>RTRT</x:v>
      </x:c>
      <x:c r="C13" s="187" t="str">
        <x:v>ICH Q8(R2) Pharmaceutical Development</x:v>
      </x:c>
      <x:c r="D13" s="187" t="str">
        <x:v>https://www.fda.gov/media/71535/download</x:v>
      </x:c>
      <x:c r="E13" s="193" t="n">
        <x:v>46266</x:v>
      </x:c>
      <x:c r="F13" s="187" t="str">
        <x:v>Definition and conditions for real-time release testing</x:v>
      </x:c>
      <x:c r="G13" s="187" t="str">
        <x:v>Product-specific implementation required</x:v>
      </x:c>
      <x:c r="H13" s="187" t="str">
        <x:v>Primary</x:v>
      </x:c>
      <x:c r="I13" s="188" t="str">
        <x:v>Use</x:v>
      </x:c>
    </x:row>
    <x:row r="14">
      <x:c r="A14" s="186" t="str">
        <x:v>S10</x:v>
      </x:c>
      <x:c r="B14" s="187" t="str">
        <x:v>Advanced mfg</x:v>
      </x:c>
      <x:c r="C14" s="187" t="str">
        <x:v>FDA FRAME initiative</x:v>
      </x:c>
      <x:c r="D14" s="187" t="str">
        <x:v>https://www.fda.gov/about-fda/center-drug-evaluation-and-research-cder/cders-framework-regulatory-advanced-manufacturing-evaluation-frame-initiative</x:v>
      </x:c>
      <x:c r="E14" s="193" t="n">
        <x:v>46266</x:v>
      </x:c>
      <x:c r="F14" s="187" t="str">
        <x:v>Distributed/AI manufacturing regulatory context</x:v>
      </x:c>
      <x:c r="G14" s="187" t="str">
        <x:v>Evolving policy</x:v>
      </x:c>
      <x:c r="H14" s="187" t="str">
        <x:v>Primary</x:v>
      </x:c>
      <x:c r="I14" s="188" t="str">
        <x:v>Use</x:v>
      </x:c>
    </x:row>
    <x:row r="15">
      <x:c r="A15" s="186" t="str">
        <x:v>S11</x:v>
      </x:c>
      <x:c r="B15" s="187" t="str">
        <x:v>Distributed mfg</x:v>
      </x:c>
      <x:c r="C15" s="187" t="str">
        <x:v>2026 proposed DME registration rule</x:v>
      </x:c>
      <x:c r="D15" s="187" t="str">
        <x:v>https://www.federalregister.gov/documents/2026/07/13/2026-14073/drug-establishment-registration-and-drug-listing-requirements-for-establishments-engaged-in</x:v>
      </x:c>
      <x:c r="E15" s="193" t="n">
        <x:v>46266</x:v>
      </x:c>
      <x:c r="F15" s="187" t="str">
        <x:v>Scenario boundary for distributed establishments</x:v>
      </x:c>
      <x:c r="G15" s="187" t="str">
        <x:v>Proposed, not final</x:v>
      </x:c>
      <x:c r="H15" s="187" t="str">
        <x:v>Primary</x:v>
      </x:c>
      <x:c r="I15" s="188" t="str">
        <x:v>Use</x:v>
      </x:c>
    </x:row>
    <x:row r="16">
      <x:c r="A16" s="186" t="str">
        <x:v>S12</x:v>
      </x:c>
      <x:c r="B16" s="187" t="str">
        <x:v>AMT</x:v>
      </x:c>
      <x:c r="C16" s="187" t="str">
        <x:v>FDA AMT Designation Program</x:v>
      </x:c>
      <x:c r="D16" s="187" t="str">
        <x:v>https://www.fda.gov/regulatory-information/search-fda-guidance-documents/advanced-manufacturing-technologies-designation-program</x:v>
      </x:c>
      <x:c r="E16" s="193" t="n">
        <x:v>46266</x:v>
      </x:c>
      <x:c r="F16" s="187" t="str">
        <x:v>Early engagement/designation context</x:v>
      </x:c>
      <x:c r="G16" s="187" t="str">
        <x:v>Designation is not product approval</x:v>
      </x:c>
      <x:c r="H16" s="187" t="str">
        <x:v>Primary</x:v>
      </x:c>
      <x:c r="I16" s="188" t="str">
        <x:v>Use</x:v>
      </x:c>
    </x:row>
    <x:row r="17">
      <x:c r="A17" s="186" t="str">
        <x:v>S13</x:v>
      </x:c>
      <x:c r="B17" s="187" t="str">
        <x:v>503B</x:v>
      </x:c>
      <x:c r="C17" s="187" t="str">
        <x:v>FDA compounding during shortages</x:v>
      </x:c>
      <x:c r="D17" s="187" t="str">
        <x:v>https://www.fda.gov/drugs/human-drug-compounding/compounding-when-drugs-are-fdas-drug-shortages-list</x:v>
      </x:c>
      <x:c r="E17" s="193" t="n">
        <x:v>46266</x:v>
      </x:c>
      <x:c r="F17" s="187" t="str">
        <x:v>Shortage-list exceptions and transition risk</x:v>
      </x:c>
      <x:c r="G17" s="187" t="str">
        <x:v>Status can change</x:v>
      </x:c>
      <x:c r="H17" s="187" t="str">
        <x:v>Primary</x:v>
      </x:c>
      <x:c r="I17" s="188" t="str">
        <x:v>Use</x:v>
      </x:c>
    </x:row>
    <x:row r="18">
      <x:c r="A18" s="186" t="str">
        <x:v>S14</x:v>
      </x:c>
      <x:c r="B18" s="187" t="str">
        <x:v>503B</x:v>
      </x:c>
      <x:c r="C18" s="187" t="str">
        <x:v>FDA bulk substances under 503B</x:v>
      </x:c>
      <x:c r="D18" s="187" t="str">
        <x:v>https://www.fda.gov/drugs/human-drug-compounding/bulk-drug-substances-used-compounding-under-section-503b-fdc-act</x:v>
      </x:c>
      <x:c r="E18" s="193" t="n">
        <x:v>46266</x:v>
      </x:c>
      <x:c r="F18" s="187" t="str">
        <x:v>Bulk eligibility gate</x:v>
      </x:c>
      <x:c r="G18" s="187" t="str">
        <x:v>Requires case-specific review</x:v>
      </x:c>
      <x:c r="H18" s="187" t="str">
        <x:v>Primary</x:v>
      </x:c>
      <x:c r="I18" s="188" t="str">
        <x:v>Use</x:v>
      </x:c>
    </x:row>
    <x:row r="19">
      <x:c r="A19" s="186" t="str">
        <x:v>S15</x:v>
      </x:c>
      <x:c r="B19" s="187" t="str">
        <x:v>503B</x:v>
      </x:c>
      <x:c r="C19" s="187" t="str">
        <x:v>FDA essentially-copy guidance</x:v>
      </x:c>
      <x:c r="D19" s="187" t="str">
        <x:v>https://www.fda.gov/media/98964/download</x:v>
      </x:c>
      <x:c r="E19" s="193" t="n">
        <x:v>46266</x:v>
      </x:c>
      <x:c r="F19" s="187" t="str">
        <x:v>Copy restriction and shortage exception</x:v>
      </x:c>
      <x:c r="G19" s="187" t="str">
        <x:v>Nonbinding guidance</x:v>
      </x:c>
      <x:c r="H19" s="187" t="str">
        <x:v>Primary</x:v>
      </x:c>
      <x:c r="I19" s="188" t="str">
        <x:v>Use</x:v>
      </x:c>
    </x:row>
    <x:row r="20">
      <x:c r="A20" s="186" t="str">
        <x:v>S16</x:v>
      </x:c>
      <x:c r="B20" s="187" t="str">
        <x:v>Approvals</x:v>
      </x:c>
      <x:c r="C20" s="187" t="str">
        <x:v>Drugs@FDA data files</x:v>
      </x:c>
      <x:c r="D20" s="187" t="str">
        <x:v>https://www.fda.gov/drugs/drug-approvals-and-databases/drugsfda-data-files</x:v>
      </x:c>
      <x:c r="E20" s="193" t="n">
        <x:v>46266</x:v>
      </x:c>
      <x:c r="F20" s="187" t="str">
        <x:v>Applications, products, sponsors</x:v>
      </x:c>
      <x:c r="G20" s="187" t="str">
        <x:v>Daily snapshot required</x:v>
      </x:c>
      <x:c r="H20" s="187" t="str">
        <x:v>Primary</x:v>
      </x:c>
      <x:c r="I20" s="188" t="str">
        <x:v>Use</x:v>
      </x:c>
    </x:row>
    <x:row r="21">
      <x:c r="A21" s="186" t="str">
        <x:v>S17</x:v>
      </x:c>
      <x:c r="B21" s="187" t="str">
        <x:v>Approvals</x:v>
      </x:c>
      <x:c r="C21" s="187" t="str">
        <x:v>Orange Book data files</x:v>
      </x:c>
      <x:c r="D21" s="187" t="str">
        <x:v>https://www.fda.gov/drugs/drug-approvals-and-databases/orange-book-data-files</x:v>
      </x:c>
      <x:c r="E21" s="193" t="n">
        <x:v>46266</x:v>
      </x:c>
      <x:c r="F21" s="187" t="str">
        <x:v>Approved generics/applicants and RLD context</x:v>
      </x:c>
      <x:c r="G21" s="187" t="str">
        <x:v>Monthly snapshot required</x:v>
      </x:c>
      <x:c r="H21" s="187" t="str">
        <x:v>Primary</x:v>
      </x:c>
      <x:c r="I21" s="188" t="str">
        <x:v>Use</x:v>
      </x:c>
    </x:row>
    <x:row r="22">
      <x:c r="A22" s="186" t="str">
        <x:v>S18</x:v>
      </x:c>
      <x:c r="B22" s="187" t="str">
        <x:v>Labels</x:v>
      </x:c>
      <x:c r="C22" s="187" t="str">
        <x:v>DailyMed</x:v>
      </x:c>
      <x:c r="D22" s="187" t="str">
        <x:v>https://dailymed.nlm.nih.gov/</x:v>
      </x:c>
      <x:c r="E22" s="193" t="n">
        <x:v>46266</x:v>
      </x:c>
      <x:c r="F22" s="187" t="str">
        <x:v>Current submitted labels, formulation, storage</x:v>
      </x:c>
      <x:c r="G22" s="187" t="str">
        <x:v>Submitted labels; reconcile product/application</x:v>
      </x:c>
      <x:c r="H22" s="187" t="str">
        <x:v>Primary</x:v>
      </x:c>
      <x:c r="I22" s="188" t="str">
        <x:v>Use</x:v>
      </x:c>
    </x:row>
    <x:row r="23">
      <x:c r="A23" s="186" t="str">
        <x:v>S19</x:v>
      </x:c>
      <x:c r="B23" s="187" t="str">
        <x:v>Demand proxy</x:v>
      </x:c>
      <x:c r="C23" s="187" t="str">
        <x:v>CMS Part B spending by drug</x:v>
      </x:c>
      <x:c r="D23" s="187" t="str">
        <x:v>https://data.cms.gov/summary-statistics-on-use-and-payments/medicare-medicaid-spending-by-drug/medicare-part-b-spending-by-drug</x:v>
      </x:c>
      <x:c r="E23" s="193" t="n">
        <x:v>46266</x:v>
      </x:c>
      <x:c r="F23" s="187" t="str">
        <x:v>Outpatient utilization/pricing proxy only</x:v>
      </x:c>
      <x:c r="G23" s="187" t="str">
        <x:v>Poor proxy for inpatient essential injectables</x:v>
      </x:c>
      <x:c r="H23" s="187" t="str">
        <x:v>Primary</x:v>
      </x:c>
      <x:c r="I23" s="188" t="str">
        <x:v>Conditional</x:v>
      </x:c>
    </x:row>
    <x:row r="24">
      <x:c r="A24" s="186" t="str">
        <x:v>S20</x:v>
      </x:c>
      <x:c r="B24" s="187" t="str">
        <x:v>Pricing proxy</x:v>
      </x:c>
      <x:c r="C24" s="187" t="str">
        <x:v>2026 Medicare Part B payment files</x:v>
      </x:c>
      <x:c r="D24" s="187" t="str">
        <x:v>https://www.cms.gov/medicare/payment/part-b-drugs/asp-pricing-files</x:v>
      </x:c>
      <x:c r="E24" s="193" t="n">
        <x:v>46266</x:v>
      </x:c>
      <x:c r="F24" s="187" t="str">
        <x:v>Reimbursement/ASP proxy where applicable</x:v>
      </x:c>
      <x:c r="G24" s="187" t="str">
        <x:v>Not manufacturing cost</x:v>
      </x:c>
      <x:c r="H24" s="187" t="str">
        <x:v>Primary</x:v>
      </x:c>
      <x:c r="I24" s="188" t="str">
        <x:v>Conditional</x:v>
      </x:c>
    </x:row>
    <x:row r="25">
      <x:c r="A25" s="186" t="str">
        <x:v>S21</x:v>
      </x:c>
      <x:c r="B25" s="187" t="str">
        <x:v>Shortage discovery</x:v>
      </x:c>
      <x:c r="C25" s="187" t="str">
        <x:v>ASHP current shortage list</x:v>
      </x:c>
      <x:c r="D25" s="187" t="str">
        <x:v>https://www.ashp.org/drug-shortages/current-shortages/drug-shortages-list?page=CurrentShortages</x:v>
      </x:c>
      <x:c r="E25" s="193" t="n">
        <x:v>46266</x:v>
      </x:c>
      <x:c r="F25" s="187" t="str">
        <x:v>Candidate discovery and presentation-level availability</x:v>
      </x:c>
      <x:c r="G25" s="187" t="str">
        <x:v>Criteria differ from FDA; copyrighted bulletins</x:v>
      </x:c>
      <x:c r="H25" s="187" t="str">
        <x:v>Secondary</x:v>
      </x:c>
      <x:c r="I25" s="188" t="str">
        <x:v>Use</x:v>
      </x:c>
    </x:row>
    <x:row r="26">
      <x:c r="A26" s="186" t="str">
        <x:v>S22</x:v>
      </x:c>
      <x:c r="B26" s="187" t="str">
        <x:v>Case label</x:v>
      </x:c>
      <x:c r="C26" s="187" t="str">
        <x:v>DailyMed sodium bicarbonate 8.4% label</x:v>
      </x:c>
      <x:c r="D26" s="187" t="str">
        <x:v>https://dailymed.nlm.nih.gov/dailymed/fda/fdaDrugXsl.cfm?setid=2f05947f-a489-4298-a871-90db75b2a6c5&amp;type=display</x:v>
      </x:c>
      <x:c r="E26" s="193" t="n">
        <x:v>46266</x:v>
      </x:c>
      <x:c r="F26" s="187" t="str">
        <x:v>Illustrative Product A formulation/presentation</x:v>
      </x:c>
      <x:c r="G26" s="187" t="str">
        <x:v>One labeler only</x:v>
      </x:c>
      <x:c r="H26" s="187" t="str">
        <x:v>Primary</x:v>
      </x:c>
      <x:c r="I26" s="188" t="str">
        <x:v>Use</x:v>
      </x:c>
    </x:row>
    <x:row r="27">
      <x:c r="A27" s="186" t="str">
        <x:v>S23</x:v>
      </x:c>
      <x:c r="B27" s="187" t="str">
        <x:v>Case label</x:v>
      </x:c>
      <x:c r="C27" s="187" t="str">
        <x:v>DailyMed norepinephrine label</x:v>
      </x:c>
      <x:c r="D27" s="187" t="str">
        <x:v>https://dailymed.nlm.nih.gov/dailymed/drugInfo.cfm?setid=4408987e-690a-41ac-9677-e24604fa9793</x:v>
      </x:c>
      <x:c r="E27" s="193" t="n">
        <x:v>46266</x:v>
      </x:c>
      <x:c r="F27" s="187" t="str">
        <x:v>Illustrative Product B formulation/storage</x:v>
      </x:c>
      <x:c r="G27" s="187" t="str">
        <x:v>One labeler only</x:v>
      </x:c>
      <x:c r="H27" s="187" t="str">
        <x:v>Primary</x:v>
      </x:c>
      <x:c r="I27" s="188" t="str">
        <x:v>Use</x:v>
      </x:c>
    </x:row>
    <x:row r="28">
      <x:c r="A28" s="186" t="str">
        <x:v>S24</x:v>
      </x:c>
      <x:c r="B28" s="187" t="str">
        <x:v>Operations</x:v>
      </x:c>
      <x:c r="C28" s="187" t="str">
        <x:v>Lucker et al. pharmaceutical resilience study</x:v>
      </x:c>
      <x:c r="D28" s="187" t="str">
        <x:v>https://doi.org/10.1016/j.omega.2017.01.004</x:v>
      </x:c>
      <x:c r="E28" s="193" t="n">
        <x:v>46266</x:v>
      </x:c>
      <x:c r="F28" s="187" t="str">
        <x:v>Inventory, dual sourcing, agility framing</x:v>
      </x:c>
      <x:c r="G28" s="187" t="str">
        <x:v>Model context differs</x:v>
      </x:c>
      <x:c r="H28" s="187" t="str">
        <x:v>Peer-reviewed</x:v>
      </x:c>
      <x:c r="I28" s="188" t="str">
        <x:v>Use</x:v>
      </x:c>
    </x:row>
    <x:row r="29">
      <x:c r="A29" s="189" t="str">
        <x:v>S25</x:v>
      </x:c>
      <x:c r="B29" s="190" t="str">
        <x:v>Recovery</x:v>
      </x:c>
      <x:c r="C29" s="190" t="str">
        <x:v>Lee et al. learning in drug-shortage recovery</x:v>
      </x:c>
      <x:c r="D29" s="190" t="str">
        <x:v>https://doi.org/10.1287/mnsc.2024.08337</x:v>
      </x:c>
      <x:c r="E29" s="194" t="n">
        <x:v>46266</x:v>
      </x:c>
      <x:c r="F29" s="190" t="str">
        <x:v>Recovery learning and cross-site transfer assumptions</x:v>
      </x:c>
      <x:c r="G29" s="190" t="str">
        <x:v>Published 2026; validate data access</x:v>
      </x:c>
      <x:c r="H29" s="190" t="str">
        <x:v>Peer-reviewed</x:v>
      </x:c>
      <x:c r="I29" s="191" t="str">
        <x:v>Use</x:v>
      </x:c>
    </x:row>
  </x:sheetData>
  <x:mergeCells>
    <x:mergeCell ref="A1:I1"/>
    <x:mergeCell ref="A2:I2"/>
  </x:mergeCells>
  <x:dataValidations count="2">
    <x:dataValidation type="list" sqref="H5:I29">
      <x:formula1>"Primary,Peer-reviewed,Secondary,Expert estimate,Illustrative"</x:formula1>
    </x:dataValidation>
    <x:dataValidation type="list" sqref="I5:I29">
      <x:formula1>"Use,Conditional,Replace,Archived"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5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17" hidden="0" customWidth="1"/>
    <x:col min="11" max="11" width="14" hidden="0" customWidth="1"/>
    <x:col min="12" max="12" width="17" hidden="0" customWidth="1"/>
    <x:col min="13" max="13" width="18" hidden="0" customWidth="1"/>
    <x:col min="14" max="14" width="14" hidden="0" customWidth="1"/>
    <x:col min="15" max="15" width="15" hidden="0" customWidth="1"/>
    <x:col min="16" max="16" width="26" hidden="0" customWidth="1"/>
  </x:cols>
  <x:sheetData>
    <x:row r="1" ht="30" customHeight="1">
      <x:c r="A1" s="230" t="str">
        <x:v>Product selection scorecard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  <x:c r="O1" s="165"/>
      <x:c r="P1" s="165"/>
    </x:row>
    <x:row r="2" ht="30" customHeight="1">
      <x:c r="A2" s="231" t="str">
        <x:v>Provisional screening only. Apply hard gates before weighted scoring; re-run with expert input and a frozen FDA/ASHP snapshot.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  <x:c r="O2" s="165"/>
      <x:c r="P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  <x:c r="O3" s="165"/>
      <x:c r="P3" s="165"/>
    </x:row>
    <x:row r="4">
      <x:c r="A4" s="182" t="str">
        <x:v>Candidate</x:v>
      </x:c>
      <x:c r="B4" s="182" t="str">
        <x:v>Shortage case</x:v>
      </x:c>
      <x:c r="C4" s="182" t="str">
        <x:v>Non-controlled</x:v>
      </x:c>
      <x:c r="D4" s="182" t="str">
        <x:v>Small molecule</x:v>
      </x:c>
      <x:c r="E4" s="182" t="str">
        <x:v>Aqueous solution</x:v>
      </x:c>
      <x:c r="F4" s="182" t="str">
        <x:v>Standard vial</x:v>
      </x:c>
      <x:c r="G4" s="182" t="str">
        <x:v>No cytotoxic/HP</x:v>
      </x:c>
      <x:c r="H4" s="182" t="str">
        <x:v>Clinical criticality</x:v>
      </x:c>
      <x:c r="I4" s="182" t="str">
        <x:v>Recurrence/duration</x:v>
      </x:c>
      <x:c r="J4" s="182" t="str">
        <x:v>Supplier vulnerability</x:v>
      </x:c>
      <x:c r="K4" s="182" t="str">
        <x:v>Public data</x:v>
      </x:c>
      <x:c r="L4" s="182" t="str">
        <x:v>Manufacturing fit</x:v>
      </x:c>
      <x:c r="M4" s="182" t="str">
        <x:v>Regional plausibility</x:v>
      </x:c>
      <x:c r="N4" s="182" t="str">
        <x:v>Demand fit</x:v>
      </x:c>
      <x:c r="O4" s="182" t="str">
        <x:v>Weighted score</x:v>
      </x:c>
      <x:c r="P4" s="182" t="str">
        <x:v>Decision</x:v>
      </x:c>
    </x:row>
    <x:row r="5">
      <x:c r="A5" s="183" t="str">
        <x:v>Sodium bicarbonate injection 8.4%, 50 mL</x:v>
      </x:c>
      <x:c r="B5" s="184" t="str">
        <x:v>Current/recurrent</x:v>
      </x:c>
      <x:c r="C5" s="184" t="str">
        <x:v>PASS</x:v>
      </x:c>
      <x:c r="D5" s="184" t="str">
        <x:v>PASS</x:v>
      </x:c>
      <x:c r="E5" s="184" t="str">
        <x:v>PASS</x:v>
      </x:c>
      <x:c r="F5" s="184" t="str">
        <x:v>PASS</x:v>
      </x:c>
      <x:c r="G5" s="184" t="str">
        <x:v>PASS</x:v>
      </x:c>
      <x:c r="H5" s="184" t="n">
        <x:v>5</x:v>
      </x:c>
      <x:c r="I5" s="184" t="n">
        <x:v>5</x:v>
      </x:c>
      <x:c r="J5" s="184" t="n">
        <x:v>4</x:v>
      </x:c>
      <x:c r="K5" s="184" t="n">
        <x:v>3</x:v>
      </x:c>
      <x:c r="L5" s="184" t="n">
        <x:v>5</x:v>
      </x:c>
      <x:c r="M5" s="184" t="n">
        <x:v>4</x:v>
      </x:c>
      <x:c r="N5" s="184" t="n">
        <x:v>4</x:v>
      </x:c>
      <x:c r="O5" s="195" t="n">
        <x:f>IF(COUNTIF(C5:G5,"FAIL")&gt;0,0,H5*20%+I5*20%+J5*15%+K5*10%+L5*15%+M5*10%+N5*10%)</x:f>
        <x:v>4.450000000000001</x:v>
      </x:c>
      <x:c r="P5" s="185" t="str">
        <x:v>Advance to diligence</x:v>
      </x:c>
    </x:row>
    <x:row r="6">
      <x:c r="A6" s="186" t="str">
        <x:v>Acyclovir sodium injection 50 mg/mL</x:v>
      </x:c>
      <x:c r="B6" s="187" t="str">
        <x:v>Current/recurrent</x:v>
      </x:c>
      <x:c r="C6" s="187" t="str">
        <x:v>PASS</x:v>
      </x:c>
      <x:c r="D6" s="187" t="str">
        <x:v>PASS</x:v>
      </x:c>
      <x:c r="E6" s="187" t="str">
        <x:v>PASS</x:v>
      </x:c>
      <x:c r="F6" s="187" t="str">
        <x:v>PASS</x:v>
      </x:c>
      <x:c r="G6" s="187" t="str">
        <x:v>PASS</x:v>
      </x:c>
      <x:c r="H6" s="187" t="n">
        <x:v>4</x:v>
      </x:c>
      <x:c r="I6" s="187" t="n">
        <x:v>4</x:v>
      </x:c>
      <x:c r="J6" s="187" t="n">
        <x:v>3</x:v>
      </x:c>
      <x:c r="K6" s="187" t="n">
        <x:v>3</x:v>
      </x:c>
      <x:c r="L6" s="187" t="n">
        <x:v>4</x:v>
      </x:c>
      <x:c r="M6" s="187" t="n">
        <x:v>3</x:v>
      </x:c>
      <x:c r="N6" s="187" t="n">
        <x:v>3</x:v>
      </x:c>
      <x:c r="O6" s="196" t="n">
        <x:f>IF(COUNTIF(C6:G6,"FAIL")&gt;0,0,H6*20%+I6*20%+J6*15%+K6*10%+L6*15%+M6*10%+N6*10%)</x:f>
        <x:v>3.55</x:v>
      </x:c>
      <x:c r="P6" s="188" t="str">
        <x:v>Reserve</x:v>
      </x:c>
    </x:row>
    <x:row r="7">
      <x:c r="A7" s="186" t="str">
        <x:v>Norepinephrine bitartrate 1 mg/mL, 4 mL</x:v>
      </x:c>
      <x:c r="B7" s="187" t="str">
        <x:v>Resolved/recurrent comparator</x:v>
      </x:c>
      <x:c r="C7" s="187" t="str">
        <x:v>PASS</x:v>
      </x:c>
      <x:c r="D7" s="187" t="str">
        <x:v>PASS</x:v>
      </x:c>
      <x:c r="E7" s="187" t="str">
        <x:v>PASS</x:v>
      </x:c>
      <x:c r="F7" s="187" t="str">
        <x:v>PASS</x:v>
      </x:c>
      <x:c r="G7" s="187" t="str">
        <x:v>PASS</x:v>
      </x:c>
      <x:c r="H7" s="187" t="n">
        <x:v>5</x:v>
      </x:c>
      <x:c r="I7" s="187" t="n">
        <x:v>4</x:v>
      </x:c>
      <x:c r="J7" s="187" t="n">
        <x:v>2</x:v>
      </x:c>
      <x:c r="K7" s="187" t="n">
        <x:v>4</x:v>
      </x:c>
      <x:c r="L7" s="187" t="n">
        <x:v>4</x:v>
      </x:c>
      <x:c r="M7" s="187" t="n">
        <x:v>3</x:v>
      </x:c>
      <x:c r="N7" s="187" t="n">
        <x:v>3</x:v>
      </x:c>
      <x:c r="O7" s="196" t="n">
        <x:f>IF(COUNTIF(C7:G7,"FAIL")&gt;0,0,H7*20%+I7*20%+J7*15%+K7*10%+L7*15%+M7*10%+N7*10%)</x:f>
        <x:v>3.7</x:v>
      </x:c>
      <x:c r="P7" s="188" t="str">
        <x:v>Advance as comparator</x:v>
      </x:c>
    </x:row>
    <x:row r="8">
      <x:c r="A8" s="186" t="str">
        <x:v>Acetazolamide sodium 500 mg vial</x:v>
      </x:c>
      <x:c r="B8" s="187" t="str">
        <x:v>Current/recurrent</x:v>
      </x:c>
      <x:c r="C8" s="187" t="str">
        <x:v>PASS</x:v>
      </x:c>
      <x:c r="D8" s="187" t="str">
        <x:v>PASS</x:v>
      </x:c>
      <x:c r="E8" s="187" t="str">
        <x:v>FAIL</x:v>
      </x:c>
      <x:c r="F8" s="187" t="str">
        <x:v>PASS</x:v>
      </x:c>
      <x:c r="G8" s="187" t="str">
        <x:v>PASS</x:v>
      </x:c>
      <x:c r="H8" s="187" t="n">
        <x:v>4</x:v>
      </x:c>
      <x:c r="I8" s="187" t="n">
        <x:v>5</x:v>
      </x:c>
      <x:c r="J8" s="187" t="n">
        <x:v>3</x:v>
      </x:c>
      <x:c r="K8" s="187" t="n">
        <x:v>3</x:v>
      </x:c>
      <x:c r="L8" s="187" t="n">
        <x:v>1</x:v>
      </x:c>
      <x:c r="M8" s="187" t="n">
        <x:v>2</x:v>
      </x:c>
      <x:c r="N8" s="187" t="n">
        <x:v>3</x:v>
      </x:c>
      <x:c r="O8" s="196" t="n">
        <x:f>IF(COUNTIF(C8:G8,"FAIL")&gt;0,0,H8*20%+I8*20%+J8*15%+K8*10%+L8*15%+M8*10%+N8*10%)</x:f>
        <x:v>0</x:v>
      </x:c>
      <x:c r="P8" s="188" t="str">
        <x:v>Exclude from first archetype</x:v>
      </x:c>
    </x:row>
    <x:row r="9">
      <x:c r="A9" s="186" t="str">
        <x:v>Sterile water for injection, vial</x:v>
      </x:c>
      <x:c r="B9" s="187" t="str">
        <x:v>Current/prolonged</x:v>
      </x:c>
      <x:c r="C9" s="187" t="str">
        <x:v>PASS</x:v>
      </x:c>
      <x:c r="D9" s="187" t="str">
        <x:v>PASS</x:v>
      </x:c>
      <x:c r="E9" s="187" t="str">
        <x:v>PASS</x:v>
      </x:c>
      <x:c r="F9" s="187" t="str">
        <x:v>PASS</x:v>
      </x:c>
      <x:c r="G9" s="187" t="str">
        <x:v>PASS</x:v>
      </x:c>
      <x:c r="H9" s="187" t="n">
        <x:v>5</x:v>
      </x:c>
      <x:c r="I9" s="187" t="n">
        <x:v>5</x:v>
      </x:c>
      <x:c r="J9" s="187" t="n">
        <x:v>3</x:v>
      </x:c>
      <x:c r="K9" s="187" t="n">
        <x:v>4</x:v>
      </x:c>
      <x:c r="L9" s="187" t="n">
        <x:v>5</x:v>
      </x:c>
      <x:c r="M9" s="187" t="n">
        <x:v>1</x:v>
      </x:c>
      <x:c r="N9" s="187" t="n">
        <x:v>1</x:v>
      </x:c>
      <x:c r="O9" s="196" t="n">
        <x:f>IF(COUNTIF(C9:G9,"FAIL")&gt;0,0,H9*20%+I9*20%+J9*15%+K9*10%+L9*15%+M9*10%+N9*10%)</x:f>
        <x:v>3.8000000000000003</x:v>
      </x:c>
      <x:c r="P9" s="188" t="str">
        <x:v>Scale mismatch</x:v>
      </x:c>
    </x:row>
    <x:row r="10">
      <x:c r="A10" s="189" t="str">
        <x:v>Furosemide injection, standard vial</x:v>
      </x:c>
      <x:c r="B10" s="190" t="str">
        <x:v>Current/recurrent</x:v>
      </x:c>
      <x:c r="C10" s="190" t="str">
        <x:v>PASS</x:v>
      </x:c>
      <x:c r="D10" s="190" t="str">
        <x:v>PASS</x:v>
      </x:c>
      <x:c r="E10" s="190" t="str">
        <x:v>PASS</x:v>
      </x:c>
      <x:c r="F10" s="190" t="str">
        <x:v>PASS</x:v>
      </x:c>
      <x:c r="G10" s="190" t="str">
        <x:v>PASS</x:v>
      </x:c>
      <x:c r="H10" s="190" t="n">
        <x:v>4</x:v>
      </x:c>
      <x:c r="I10" s="190" t="n">
        <x:v>4</x:v>
      </x:c>
      <x:c r="J10" s="190" t="n">
        <x:v>3</x:v>
      </x:c>
      <x:c r="K10" s="190" t="n">
        <x:v>4</x:v>
      </x:c>
      <x:c r="L10" s="190" t="n">
        <x:v>5</x:v>
      </x:c>
      <x:c r="M10" s="190" t="n">
        <x:v>3</x:v>
      </x:c>
      <x:c r="N10" s="190" t="n">
        <x:v>4</x:v>
      </x:c>
      <x:c r="O10" s="197" t="n">
        <x:f>IF(COUNTIF(C10:G10,"FAIL")&gt;0,0,H10*20%+I10*20%+J10*15%+K10*10%+L10*15%+M10*10%+N10*10%)</x:f>
        <x:v>3.9</x:v>
      </x:c>
      <x:c r="P10" s="191" t="str">
        <x:v>Reserve</x:v>
      </x:c>
    </x:row>
    <x:row r="11">
      <x:c r="A11" s="165"/>
      <x:c r="B11" s="165"/>
      <x:c r="C11" s="165"/>
      <x:c r="D11" s="165"/>
      <x:c r="E11" s="165"/>
      <x:c r="F11" s="165"/>
      <x:c r="G11" s="165"/>
      <x:c r="H11" s="165"/>
      <x:c r="I11" s="165"/>
      <x:c r="J11" s="165"/>
      <x:c r="K11" s="165"/>
      <x:c r="L11" s="165"/>
      <x:c r="M11" s="165"/>
      <x:c r="N11" s="165"/>
      <x:c r="O11" s="165"/>
      <x:c r="P11" s="165"/>
    </x:row>
    <x:row r="12" ht="22" customHeight="1">
      <x:c r="A12" s="180" t="str">
        <x:v>Weights and scoring rules</x:v>
      </x:c>
      <x:c r="B12" s="180"/>
      <x:c r="C12" s="180"/>
      <x:c r="D12" s="180"/>
      <x:c r="E12" s="180"/>
      <x:c r="F12" s="180"/>
      <x:c r="G12" s="180"/>
      <x:c r="H12" s="180"/>
      <x:c r="I12" s="180"/>
      <x:c r="J12" s="180"/>
      <x:c r="K12" s="180"/>
      <x:c r="L12" s="180"/>
      <x:c r="M12" s="180"/>
      <x:c r="N12" s="180"/>
      <x:c r="O12" s="180"/>
      <x:c r="P12" s="180"/>
    </x:row>
    <x:row r="13">
      <x:c r="A13" s="198" t="str">
        <x:v>Rule</x:v>
      </x:c>
      <x:c r="B13" s="199" t="str">
        <x:v>Definition</x:v>
      </x:c>
      <x:c r="C13" s="199" t="str">
        <x:v>Criticality</x:v>
      </x:c>
      <x:c r="D13" s="199" t="str">
        <x:v>Recurrence</x:v>
      </x:c>
      <x:c r="E13" s="199" t="str">
        <x:v>Vulnerability</x:v>
      </x:c>
      <x:c r="F13" s="199" t="str">
        <x:v>Fit</x:v>
      </x:c>
      <x:c r="G13" s="200" t="str">
        <x:v>Regional value</x:v>
      </x:c>
      <x:c r="H13" s="165"/>
      <x:c r="I13" s="165"/>
      <x:c r="J13" s="165"/>
      <x:c r="K13" s="165"/>
      <x:c r="L13" s="165"/>
      <x:c r="M13" s="165"/>
      <x:c r="N13" s="165"/>
      <x:c r="O13" s="165"/>
      <x:c r="P13" s="165"/>
    </x:row>
    <x:row r="14">
      <x:c r="A14" s="183" t="str">
        <x:v>Hard gate</x:v>
      </x:c>
      <x:c r="B14" s="184" t="str">
        <x:v>Any FAIL in columns C:G excludes a product from the first manufacturing archetype</x:v>
      </x:c>
      <x:c r="C14" s="184"/>
      <x:c r="D14" s="184"/>
      <x:c r="E14" s="184"/>
      <x:c r="F14" s="184"/>
      <x:c r="G14" s="185"/>
      <x:c r="H14" s="165"/>
      <x:c r="I14" s="165"/>
      <x:c r="J14" s="165"/>
      <x:c r="K14" s="165"/>
      <x:c r="L14" s="165"/>
      <x:c r="M14" s="165"/>
      <x:c r="N14" s="165"/>
      <x:c r="O14" s="165"/>
      <x:c r="P14" s="165"/>
    </x:row>
    <x:row r="15">
      <x:c r="A15" s="189" t="str">
        <x:v>Score</x:v>
      </x:c>
      <x:c r="B15" s="190" t="str">
        <x:v>1 = weak/unfavorable; 5 = strong/favorable</x:v>
      </x:c>
      <x:c r="C15" s="201" t="n">
        <x:v>0.2</x:v>
      </x:c>
      <x:c r="D15" s="201" t="n">
        <x:v>0.2</x:v>
      </x:c>
      <x:c r="E15" s="201" t="n">
        <x:v>0.15</x:v>
      </x:c>
      <x:c r="F15" s="201" t="n">
        <x:v>0.15</x:v>
      </x:c>
      <x:c r="G15" s="202" t="n">
        <x:v>0.1</x:v>
      </x:c>
      <x:c r="H15" s="165"/>
      <x:c r="I15" s="165"/>
      <x:c r="J15" s="165"/>
      <x:c r="K15" s="165"/>
      <x:c r="L15" s="165"/>
      <x:c r="M15" s="165"/>
      <x:c r="N15" s="165"/>
      <x:c r="O15" s="165"/>
      <x:c r="P15" s="165"/>
    </x:row>
  </x:sheetData>
  <x:mergeCells>
    <x:mergeCell ref="A1:P1"/>
    <x:mergeCell ref="A2:P2"/>
    <x:mergeCell ref="A12:P12"/>
  </x:mergeCells>
  <x:conditionalFormatting sqref="C5:G10">
    <x:cfRule type="containsText" dxfId="0" priority="1" operator="containsText" text="FAIL"/>
    <x:cfRule type="containsText" dxfId="1" priority="2" operator="containsText" text="PASS"/>
  </x:conditionalFormatting>
  <x:conditionalFormatting sqref="O5:O10">
    <x:cfRule type="colorScale" priority="3">
      <x:colorScale>
        <x:cfvo type="min"/>
        <x:cfvo type="percentile" val="50"/>
        <x:cfvo type="max"/>
        <x:color rgb="FFFBE1E3"/>
        <x:color rgb="FFFFF4CC"/>
        <x:color rgb="FFDDF2E5"/>
      </x:colorScale>
    </x:cfRule>
  </x:conditionalFormatting>
  <x:dataValidations count="2">
    <x:dataValidation type="list" sqref="C5:G10">
      <x:formula1>"PASS,FAIL,UNCERTAIN"</x:formula1>
    </x:dataValidation>
    <x:dataValidation type="whole" operator="between" sqref="H5:N10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7" hidden="0" customWidth="1"/>
    <x:col min="3" max="3" width="36" hidden="0" customWidth="1"/>
    <x:col min="4" max="4" width="34" hidden="0" customWidth="1"/>
    <x:col min="5" max="5" width="14" hidden="0" customWidth="1"/>
    <x:col min="6" max="6" width="20" hidden="0" customWidth="1"/>
    <x:col min="7" max="7" width="14" hidden="0" customWidth="1"/>
    <x:col min="8" max="8" width="16" hidden="0" customWidth="1"/>
    <x:col min="9" max="9" width="35" hidden="0" customWidth="1"/>
  </x:cols>
  <x:sheetData>
    <x:row r="1" ht="30" customHeight="1">
      <x:c r="A1" s="230" t="str">
        <x:v>Regulatory and quality feasibility gates</x:v>
      </x:c>
      <x:c r="B1" s="165"/>
      <x:c r="C1" s="165"/>
      <x:c r="D1" s="165"/>
      <x:c r="E1" s="165"/>
      <x:c r="F1" s="165"/>
      <x:c r="G1" s="165"/>
      <x:c r="H1" s="165"/>
      <x:c r="I1" s="165"/>
    </x:row>
    <x:row r="2" ht="30" customHeight="1">
      <x:c r="A2" s="231" t="str">
        <x:v>Treat these as binary gates, not costs that can be traded away. The default status is UNCERTAIN pending qualified review.</x:v>
      </x:c>
      <x:c r="B2" s="165"/>
      <x:c r="C2" s="165"/>
      <x:c r="D2" s="165"/>
      <x:c r="E2" s="165"/>
      <x:c r="F2" s="165"/>
      <x:c r="G2" s="165"/>
      <x:c r="H2" s="165"/>
      <x:c r="I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</x:row>
    <x:row r="4">
      <x:c r="A4" s="182" t="str">
        <x:v>Pathway</x:v>
      </x:c>
      <x:c r="B4" s="182" t="str">
        <x:v>Gate</x:v>
      </x:c>
      <x:c r="C4" s="182" t="str">
        <x:v>Evidence required</x:v>
      </x:c>
      <x:c r="D4" s="182" t="str">
        <x:v>Model effect</x:v>
      </x:c>
      <x:c r="E4" s="182" t="str">
        <x:v>Status</x:v>
      </x:c>
      <x:c r="F4" s="182" t="str">
        <x:v>Reviewer</x:v>
      </x:c>
      <x:c r="G4" s="182" t="str">
        <x:v>Review date</x:v>
      </x:c>
      <x:c r="H4" s="182" t="str">
        <x:v>Source ID</x:v>
      </x:c>
      <x:c r="I4" s="182" t="str">
        <x:v>Notes</x:v>
      </x:c>
    </x:row>
    <x:row r="5">
      <x:c r="A5" s="183" t="str">
        <x:v>Approved generic / CMO</x:v>
      </x:c>
      <x:c r="B5" s="184" t="str">
        <x:v>Application ownership or binding CMO relationship</x:v>
      </x:c>
      <x:c r="C5" s="184" t="str">
        <x:v>ANDA/NDA holder and executed quality/technical agreement</x:v>
      </x:c>
      <x:c r="D5" s="184" t="str">
        <x:v>Strategy infeasible if absent</x:v>
      </x:c>
      <x:c r="E5" s="184" t="str">
        <x:v>UNCERTAIN</x:v>
      </x:c>
      <x:c r="F5" s="184" t="str"/>
      <x:c r="G5" s="192" t="str"/>
      <x:c r="H5" s="184" t="str">
        <x:v>S16/S17</x:v>
      </x:c>
      <x:c r="I5" s="185" t="str"/>
    </x:row>
    <x:row r="6">
      <x:c r="A6" s="186" t="str">
        <x:v>Approved generic / CMO</x:v>
      </x:c>
      <x:c r="B6" s="187" t="str">
        <x:v>Manufacturing site in approved application; establishment registered/listed</x:v>
      </x:c>
      <x:c r="C6" s="187" t="str">
        <x:v>Application/site records</x:v>
      </x:c>
      <x:c r="D6" s="187" t="str">
        <x:v>Adds submission and inspection lead time</x:v>
      </x:c>
      <x:c r="E6" s="187" t="str">
        <x:v>UNCERTAIN</x:v>
      </x:c>
      <x:c r="F6" s="187" t="str"/>
      <x:c r="G6" s="193" t="str"/>
      <x:c r="H6" s="187" t="str">
        <x:v>S11/S16</x:v>
      </x:c>
      <x:c r="I6" s="188" t="str"/>
    </x:row>
    <x:row r="7">
      <x:c r="A7" s="186" t="str">
        <x:v>Approved generic / CMO</x:v>
      </x:c>
      <x:c r="B7" s="187" t="str">
        <x:v>Product/process/cleaning validation completed</x:v>
      </x:c>
      <x:c r="C7" s="187" t="str">
        <x:v>Validation protocol and reports</x:v>
      </x:c>
      <x:c r="D7" s="187" t="str">
        <x:v>Sets earliest commercial start</x:v>
      </x:c>
      <x:c r="E7" s="187" t="str">
        <x:v>UNCERTAIN</x:v>
      </x:c>
      <x:c r="F7" s="187" t="str"/>
      <x:c r="G7" s="193" t="str"/>
      <x:c r="H7" s="187" t="str">
        <x:v>S08</x:v>
      </x:c>
      <x:c r="I7" s="188" t="str"/>
    </x:row>
    <x:row r="8">
      <x:c r="A8" s="186" t="str">
        <x:v>Approved generic / CMO</x:v>
      </x:c>
      <x:c r="B8" s="187" t="str">
        <x:v>Aseptic processing or terminal sterilization validated</x:v>
      </x:c>
      <x:c r="C8" s="187" t="str">
        <x:v>Sterility assurance package/media fills</x:v>
      </x:c>
      <x:c r="D8" s="187" t="str">
        <x:v>Hard constraint; determines process archetype</x:v>
      </x:c>
      <x:c r="E8" s="187" t="str">
        <x:v>UNCERTAIN</x:v>
      </x:c>
      <x:c r="F8" s="187" t="str"/>
      <x:c r="G8" s="193" t="str"/>
      <x:c r="H8" s="187" t="str">
        <x:v>S06/S07</x:v>
      </x:c>
      <x:c r="I8" s="188" t="str"/>
    </x:row>
    <x:row r="9">
      <x:c r="A9" s="186" t="str">
        <x:v>Approved generic / CMO</x:v>
      </x:c>
      <x:c r="B9" s="187" t="str">
        <x:v>Analytical methods transferred and validated</x:v>
      </x:c>
      <x:c r="C9" s="187" t="str">
        <x:v>Method validation/transfer reports</x:v>
      </x:c>
      <x:c r="D9" s="187" t="str">
        <x:v>Constrains release time and tech transfer</x:v>
      </x:c>
      <x:c r="E9" s="187" t="str">
        <x:v>UNCERTAIN</x:v>
      </x:c>
      <x:c r="F9" s="187" t="str"/>
      <x:c r="G9" s="193" t="str"/>
      <x:c r="H9" s="187" t="str">
        <x:v>S06/S09</x:v>
      </x:c>
      <x:c r="I9" s="188" t="str"/>
    </x:row>
    <x:row r="10">
      <x:c r="A10" s="186" t="str">
        <x:v>Approved generic / CMO</x:v>
      </x:c>
      <x:c r="B10" s="187" t="str">
        <x:v>Stability and container-closure evidence supports shelf life</x:v>
      </x:c>
      <x:c r="C10" s="187" t="str">
        <x:v>Stability protocol/data, CCI</x:v>
      </x:c>
      <x:c r="D10" s="187" t="str">
        <x:v>Caps inventory and distributed-node economics</x:v>
      </x:c>
      <x:c r="E10" s="187" t="str">
        <x:v>UNCERTAIN</x:v>
      </x:c>
      <x:c r="F10" s="187" t="str"/>
      <x:c r="G10" s="193" t="str"/>
      <x:c r="H10" s="187" t="str">
        <x:v>S06/S18</x:v>
      </x:c>
      <x:c r="I10" s="188" t="str"/>
    </x:row>
    <x:row r="11">
      <x:c r="A11" s="186" t="str">
        <x:v>Approved generic / CMO</x:v>
      </x:c>
      <x:c r="B11" s="187" t="str">
        <x:v>Change-control category and FDA submission identified</x:v>
      </x:c>
      <x:c r="C11" s="187" t="str">
        <x:v>Regulatory assessment</x:v>
      </x:c>
      <x:c r="D11" s="187" t="str">
        <x:v>Adds scenario-specific delay</x:v>
      </x:c>
      <x:c r="E11" s="187" t="str">
        <x:v>UNCERTAIN</x:v>
      </x:c>
      <x:c r="F11" s="187" t="str"/>
      <x:c r="G11" s="193" t="str"/>
      <x:c r="H11" s="187" t="str">
        <x:v>S16/S17</x:v>
      </x:c>
      <x:c r="I11" s="188" t="str"/>
    </x:row>
    <x:row r="12">
      <x:c r="A12" s="186" t="str">
        <x:v>503B shortage response</x:v>
      </x:c>
      <x:c r="B12" s="187" t="str">
        <x:v>Facility registered annually and CGMP-compliant</x:v>
      </x:c>
      <x:c r="C12" s="187" t="str">
        <x:v>FDA registration/inspection record</x:v>
      </x:c>
      <x:c r="D12" s="187" t="str">
        <x:v>Strategy infeasible if absent</x:v>
      </x:c>
      <x:c r="E12" s="187" t="str">
        <x:v>UNCERTAIN</x:v>
      </x:c>
      <x:c r="F12" s="187" t="str"/>
      <x:c r="G12" s="193" t="str"/>
      <x:c r="H12" s="187" t="str">
        <x:v>S06/S13</x:v>
      </x:c>
      <x:c r="I12" s="188" t="str"/>
    </x:row>
    <x:row r="13">
      <x:c r="A13" s="186" t="str">
        <x:v>503B shortage response</x:v>
      </x:c>
      <x:c r="B13" s="187" t="str">
        <x:v>Bulk substance eligible at compounding/distribution/dispensing</x:v>
      </x:c>
      <x:c r="C13" s="187" t="str">
        <x:v>Current shortage/bulks status</x:v>
      </x:c>
      <x:c r="D13" s="187" t="str">
        <x:v>Turns pathway on/off dynamically</x:v>
      </x:c>
      <x:c r="E13" s="187" t="str">
        <x:v>UNCERTAIN</x:v>
      </x:c>
      <x:c r="F13" s="187" t="str"/>
      <x:c r="G13" s="193" t="str"/>
      <x:c r="H13" s="187" t="str">
        <x:v>S13/S14</x:v>
      </x:c>
      <x:c r="I13" s="188" t="str"/>
    </x:row>
    <x:row r="14">
      <x:c r="A14" s="186" t="str">
        <x:v>503B shortage response</x:v>
      </x:c>
      <x:c r="B14" s="187" t="str">
        <x:v>Product not barred as essentially a copy</x:v>
      </x:c>
      <x:c r="C14" s="187" t="str">
        <x:v>Product-specific legal analysis</x:v>
      </x:c>
      <x:c r="D14" s="187" t="str">
        <x:v>Strategy infeasible if exception absent</x:v>
      </x:c>
      <x:c r="E14" s="187" t="str">
        <x:v>UNCERTAIN</x:v>
      </x:c>
      <x:c r="F14" s="187" t="str"/>
      <x:c r="G14" s="193" t="str"/>
      <x:c r="H14" s="187" t="str">
        <x:v>S13/S15</x:v>
      </x:c>
      <x:c r="I14" s="188" t="str"/>
    </x:row>
    <x:row r="15">
      <x:c r="A15" s="186" t="str">
        <x:v>503B shortage response</x:v>
      </x:c>
      <x:c r="B15" s="187" t="str">
        <x:v>Stability/BUD and sterility controls supported</x:v>
      </x:c>
      <x:c r="C15" s="187" t="str">
        <x:v>Stability and quality package</x:v>
      </x:c>
      <x:c r="D15" s="187" t="str">
        <x:v>Caps inventory; affects release latency</x:v>
      </x:c>
      <x:c r="E15" s="187" t="str">
        <x:v>UNCERTAIN</x:v>
      </x:c>
      <x:c r="F15" s="187" t="str"/>
      <x:c r="G15" s="193" t="str"/>
      <x:c r="H15" s="187" t="str">
        <x:v>S06/S13</x:v>
      </x:c>
      <x:c r="I15" s="188" t="str"/>
    </x:row>
    <x:row r="16">
      <x:c r="A16" s="186" t="str">
        <x:v>503B shortage response</x:v>
      </x:c>
      <x:c r="B16" s="187" t="str">
        <x:v>State licensure/distribution permissions mapped</x:v>
      </x:c>
      <x:c r="C16" s="187" t="str">
        <x:v>State-by-state map</x:v>
      </x:c>
      <x:c r="D16" s="187" t="str">
        <x:v>May restrict served regions</x:v>
      </x:c>
      <x:c r="E16" s="187" t="str">
        <x:v>UNCERTAIN</x:v>
      </x:c>
      <x:c r="F16" s="187" t="str"/>
      <x:c r="G16" s="193" t="str"/>
      <x:c r="H16" s="187" t="str">
        <x:v>S13</x:v>
      </x:c>
      <x:c r="I16" s="188" t="str"/>
    </x:row>
    <x:row r="17">
      <x:c r="A17" s="186" t="str">
        <x:v>Distributed network</x:v>
      </x:c>
      <x:c r="B17" s="187" t="str">
        <x:v>Each unit/site registration and listing approach is supportable</x:v>
      </x:c>
      <x:c r="C17" s="187" t="str">
        <x:v>Counsel review of final/current rule</x:v>
      </x:c>
      <x:c r="D17" s="187" t="str">
        <x:v>No assumption of one national site identity</x:v>
      </x:c>
      <x:c r="E17" s="187" t="str">
        <x:v>UNCERTAIN</x:v>
      </x:c>
      <x:c r="F17" s="187" t="str"/>
      <x:c r="G17" s="193" t="str"/>
      <x:c r="H17" s="187" t="str">
        <x:v>S10/S11</x:v>
      </x:c>
      <x:c r="I17" s="188" t="str">
        <x:v>2026 DME rule is proposed</x:v>
      </x:c>
    </x:row>
    <x:row r="18">
      <x:c r="A18" s="186" t="str">
        <x:v>Distributed network</x:v>
      </x:c>
      <x:c r="B18" s="187" t="str">
        <x:v>Cross-site comparability protocol accepted for the product</x:v>
      </x:c>
      <x:c r="C18" s="187" t="str">
        <x:v>Product/site data and agency engagement</x:v>
      </x:c>
      <x:c r="D18" s="187" t="str">
        <x:v>No automatic statistical interchangeability</x:v>
      </x:c>
      <x:c r="E18" s="187" t="str">
        <x:v>UNCERTAIN</x:v>
      </x:c>
      <x:c r="F18" s="187" t="str"/>
      <x:c r="G18" s="193" t="str"/>
      <x:c r="H18" s="187" t="str">
        <x:v>S10/S12</x:v>
      </x:c>
      <x:c r="I18" s="188" t="str"/>
    </x:row>
    <x:row r="19">
      <x:c r="A19" s="189" t="str">
        <x:v>AI / release assurance</x:v>
      </x:c>
      <x:c r="B19" s="190" t="str">
        <x:v>Model is within a validated state of control; drift handling defined</x:v>
      </x:c>
      <x:c r="C19" s="190" t="str">
        <x:v>Prospective validation, change control, audit trail</x:v>
      </x:c>
      <x:c r="D19" s="190" t="str">
        <x:v>Can reduce only validated release components</x:v>
      </x:c>
      <x:c r="E19" s="190" t="str">
        <x:v>UNCERTAIN</x:v>
      </x:c>
      <x:c r="F19" s="190" t="str"/>
      <x:c r="G19" s="194" t="str"/>
      <x:c r="H19" s="190" t="str">
        <x:v>S06/S09/S10</x:v>
      </x:c>
      <x:c r="I19" s="191" t="str">
        <x:v>Must not replace sterility assurance by assumption</x:v>
      </x:c>
    </x:row>
  </x:sheetData>
  <x:mergeCells>
    <x:mergeCell ref="A1:I1"/>
    <x:mergeCell ref="A2:I2"/>
  </x:mergeCells>
  <x:conditionalFormatting sqref="E5:E19">
    <x:cfRule type="containsText" dxfId="2" priority="1" operator="containsText" text="FAIL"/>
    <x:cfRule type="containsText" dxfId="3" priority="2" operator="containsText" text="PASS"/>
    <x:cfRule type="containsText" dxfId="4" priority="3" operator="containsText" text="UNCERTAIN"/>
  </x:conditionalFormatting>
  <x:dataValidations count="1">
    <x:dataValidation type="list" sqref="E5:E19">
      <x:formula1>"PASS,FAIL,UNCERTAIN,N/A"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9" hidden="0" customWidth="1"/>
    <x:col min="6" max="6" width="37" hidden="0" customWidth="1"/>
    <x:col min="7" max="7" width="20" hidden="0" customWidth="1"/>
    <x:col min="8" max="8" width="14" hidden="0" customWidth="1"/>
  </x:cols>
  <x:sheetData>
    <x:row r="1" ht="30" customHeight="1">
      <x:c r="A1" s="230" t="str">
        <x:v>Global assumptions</x:v>
      </x:c>
      <x:c r="B1" s="165"/>
      <x:c r="C1" s="165"/>
      <x:c r="D1" s="165"/>
      <x:c r="E1" s="165"/>
      <x:c r="F1" s="165"/>
      <x:c r="G1" s="165"/>
      <x:c r="H1" s="165"/>
    </x:row>
    <x:row r="2" ht="30" customHeight="1">
      <x:c r="A2" s="231" t="str">
        <x:v>Blue-font cells are editable inputs. Yellow cells are illustrative and must be replaced or validated before publication.</x:v>
      </x:c>
      <x:c r="B2" s="165"/>
      <x:c r="C2" s="165"/>
      <x:c r="D2" s="165"/>
      <x:c r="E2" s="165"/>
      <x:c r="F2" s="165"/>
      <x:c r="G2" s="165"/>
      <x:c r="H2" s="165"/>
    </x:row>
    <x:row r="3">
      <x:c r="A3" s="165"/>
      <x:c r="B3" s="165"/>
      <x:c r="C3" s="165"/>
      <x:c r="D3" s="165"/>
      <x:c r="E3" s="165"/>
      <x:c r="F3" s="165"/>
      <x:c r="G3" s="165"/>
      <x:c r="H3" s="165"/>
    </x:row>
    <x:row r="4">
      <x:c r="A4" s="182" t="str">
        <x:v>Parameter</x:v>
      </x:c>
      <x:c r="B4" s="182" t="str">
        <x:v>Low</x:v>
      </x:c>
      <x:c r="C4" s="182" t="str">
        <x:v>Base</x:v>
      </x:c>
      <x:c r="D4" s="182" t="str">
        <x:v>High</x:v>
      </x:c>
      <x:c r="E4" s="182" t="str">
        <x:v>Units</x:v>
      </x:c>
      <x:c r="F4" s="182" t="str">
        <x:v>Distribution / role</x:v>
      </x:c>
      <x:c r="G4" s="182" t="str">
        <x:v>Source ID</x:v>
      </x:c>
      <x:c r="H4" s="182" t="str">
        <x:v>Confidence</x:v>
      </x:c>
    </x:row>
    <x:row r="5">
      <x:c r="A5" s="183" t="str">
        <x:v>Analysis horizon</x:v>
      </x:c>
      <x:c r="B5" s="203" t="n">
        <x:v>3</x:v>
      </x:c>
      <x:c r="C5" s="203" t="n">
        <x:v>5</x:v>
      </x:c>
      <x:c r="D5" s="203" t="n">
        <x:v>10</x:v>
      </x:c>
      <x:c r="E5" s="184" t="str">
        <x:v>years</x:v>
      </x:c>
      <x:c r="F5" s="184" t="str">
        <x:v>Deterministic horizon</x:v>
      </x:c>
      <x:c r="G5" s="184" t="str">
        <x:v>Protocol</x:v>
      </x:c>
      <x:c r="H5" s="185" t="str">
        <x:v>High</x:v>
      </x:c>
    </x:row>
    <x:row r="6">
      <x:c r="A6" s="186" t="str">
        <x:v>Discount rate</x:v>
      </x:c>
      <x:c r="B6" s="204" t="n">
        <x:v>0.06</x:v>
      </x:c>
      <x:c r="C6" s="204" t="n">
        <x:v>0.1</x:v>
      </x:c>
      <x:c r="D6" s="204" t="n">
        <x:v>0.15</x:v>
      </x:c>
      <x:c r="E6" s="187" t="str">
        <x:v>annual</x:v>
      </x:c>
      <x:c r="F6" s="187" t="str">
        <x:v>Capital recovery / NPV</x:v>
      </x:c>
      <x:c r="G6" s="187" t="str">
        <x:v>Expert estimate</x:v>
      </x:c>
      <x:c r="H6" s="188" t="str">
        <x:v>Low</x:v>
      </x:c>
    </x:row>
    <x:row r="7">
      <x:c r="A7" s="186" t="str">
        <x:v>Capital economic life</x:v>
      </x:c>
      <x:c r="B7" s="203" t="n">
        <x:v>7</x:v>
      </x:c>
      <x:c r="C7" s="203" t="n">
        <x:v>10</x:v>
      </x:c>
      <x:c r="D7" s="203" t="n">
        <x:v>15</x:v>
      </x:c>
      <x:c r="E7" s="187" t="str">
        <x:v>years</x:v>
      </x:c>
      <x:c r="F7" s="187" t="str">
        <x:v>Capital recovery factor</x:v>
      </x:c>
      <x:c r="G7" s="187" t="str">
        <x:v>Expert estimate</x:v>
      </x:c>
      <x:c r="H7" s="188" t="str">
        <x:v>Low</x:v>
      </x:c>
    </x:row>
    <x:row r="8">
      <x:c r="A8" s="186" t="str">
        <x:v>Inventory carrying rate</x:v>
      </x:c>
      <x:c r="B8" s="204" t="n">
        <x:v>0.12</x:v>
      </x:c>
      <x:c r="C8" s="204" t="n">
        <x:v>0.2</x:v>
      </x:c>
      <x:c r="D8" s="204" t="n">
        <x:v>0.3</x:v>
      </x:c>
      <x:c r="E8" s="187" t="str">
        <x:v>annual</x:v>
      </x:c>
      <x:c r="F8" s="187" t="str">
        <x:v>Inventory capital/handling/obsolescence</x:v>
      </x:c>
      <x:c r="G8" s="187" t="str">
        <x:v>Expert estimate</x:v>
      </x:c>
      <x:c r="H8" s="188" t="str">
        <x:v>Low</x:v>
      </x:c>
    </x:row>
    <x:row r="9">
      <x:c r="A9" s="186" t="str">
        <x:v>Target fill rate</x:v>
      </x:c>
      <x:c r="B9" s="204" t="n">
        <x:v>0.98</x:v>
      </x:c>
      <x:c r="C9" s="204" t="n">
        <x:v>0.99</x:v>
      </x:c>
      <x:c r="D9" s="204" t="n">
        <x:v>0.995</x:v>
      </x:c>
      <x:c r="E9" s="187" t="str">
        <x:v>fraction</x:v>
      </x:c>
      <x:c r="F9" s="187" t="str">
        <x:v>Optimization constraint</x:v>
      </x:c>
      <x:c r="G9" s="187" t="str">
        <x:v>Protocol</x:v>
      </x:c>
      <x:c r="H9" s="188" t="str">
        <x:v>High</x:v>
      </x:c>
    </x:row>
    <x:row r="10">
      <x:c r="A10" s="186" t="str">
        <x:v>Shortage-day threshold</x:v>
      </x:c>
      <x:c r="B10" s="203" t="n">
        <x:v>0.9</x:v>
      </x:c>
      <x:c r="C10" s="203" t="n">
        <x:v>0.95</x:v>
      </x:c>
      <x:c r="D10" s="203" t="n">
        <x:v>0.99</x:v>
      </x:c>
      <x:c r="E10" s="187" t="str">
        <x:v>daily fill fraction</x:v>
      </x:c>
      <x:c r="F10" s="187" t="str">
        <x:v>Day counted as shortage below threshold</x:v>
      </x:c>
      <x:c r="G10" s="187" t="str">
        <x:v>Protocol</x:v>
      </x:c>
      <x:c r="H10" s="188" t="str">
        <x:v>High</x:v>
      </x:c>
    </x:row>
    <x:row r="11">
      <x:c r="A11" s="186" t="str">
        <x:v>Simulation iterations</x:v>
      </x:c>
      <x:c r="B11" s="203" t="n">
        <x:v>5000</x:v>
      </x:c>
      <x:c r="C11" s="203" t="n">
        <x:v>10000</x:v>
      </x:c>
      <x:c r="D11" s="203" t="n">
        <x:v>50000</x:v>
      </x:c>
      <x:c r="E11" s="187" t="str">
        <x:v>runs</x:v>
      </x:c>
      <x:c r="F11" s="187" t="str">
        <x:v>Precision target</x:v>
      </x:c>
      <x:c r="G11" s="187" t="str">
        <x:v>Protocol</x:v>
      </x:c>
      <x:c r="H11" s="188" t="str">
        <x:v>High</x:v>
      </x:c>
    </x:row>
    <x:row r="12">
      <x:c r="A12" s="186" t="str">
        <x:v>Time step</x:v>
      </x:c>
      <x:c r="B12" s="203" t="n">
        <x:v>1</x:v>
      </x:c>
      <x:c r="C12" s="203" t="n">
        <x:v>1</x:v>
      </x:c>
      <x:c r="D12" s="203" t="n">
        <x:v>7</x:v>
      </x:c>
      <x:c r="E12" s="187" t="str">
        <x:v>days</x:v>
      </x:c>
      <x:c r="F12" s="187" t="str">
        <x:v>Daily preferred; weekly sensitivity</x:v>
      </x:c>
      <x:c r="G12" s="187" t="str">
        <x:v>Protocol</x:v>
      </x:c>
      <x:c r="H12" s="188" t="str">
        <x:v>High</x:v>
      </x:c>
    </x:row>
    <x:row r="13">
      <x:c r="A13" s="186" t="str">
        <x:v>Regions served</x:v>
      </x:c>
      <x:c r="B13" s="203" t="n">
        <x:v>3</x:v>
      </x:c>
      <x:c r="C13" s="203" t="n">
        <x:v>4</x:v>
      </x:c>
      <x:c r="D13" s="203" t="n">
        <x:v>8</x:v>
      </x:c>
      <x:c r="E13" s="187" t="str">
        <x:v>count</x:v>
      </x:c>
      <x:c r="F13" s="187" t="str">
        <x:v>Network design</x:v>
      </x:c>
      <x:c r="G13" s="187" t="str">
        <x:v>Illustrative</x:v>
      </x:c>
      <x:c r="H13" s="188" t="str">
        <x:v>Low</x:v>
      </x:c>
    </x:row>
    <x:row r="14">
      <x:c r="A14" s="186" t="str">
        <x:v>Annual demand growth</x:v>
      </x:c>
      <x:c r="B14" s="204" t="n">
        <x:v>-0.02</x:v>
      </x:c>
      <x:c r="C14" s="204" t="n">
        <x:v>0.01</x:v>
      </x:c>
      <x:c r="D14" s="204" t="n">
        <x:v>0.05</x:v>
      </x:c>
      <x:c r="E14" s="187" t="str">
        <x:v>annual</x:v>
      </x:c>
      <x:c r="F14" s="187" t="str">
        <x:v>Scenario driver</x:v>
      </x:c>
      <x:c r="G14" s="187" t="str">
        <x:v>Expert estimate</x:v>
      </x:c>
      <x:c r="H14" s="188" t="str">
        <x:v>Low</x:v>
      </x:c>
    </x:row>
    <x:row r="15">
      <x:c r="A15" s="186" t="str">
        <x:v>Demand coefficient of variation</x:v>
      </x:c>
      <x:c r="B15" s="204" t="n">
        <x:v>0.08</x:v>
      </x:c>
      <x:c r="C15" s="204" t="n">
        <x:v>0.15</x:v>
      </x:c>
      <x:c r="D15" s="204" t="n">
        <x:v>0.3</x:v>
      </x:c>
      <x:c r="E15" s="187" t="str">
        <x:v>fraction</x:v>
      </x:c>
      <x:c r="F15" s="187" t="str">
        <x:v>Lognormal/negative-binomial demand</x:v>
      </x:c>
      <x:c r="G15" s="187" t="str">
        <x:v>Expert estimate</x:v>
      </x:c>
      <x:c r="H15" s="188" t="str">
        <x:v>Low</x:v>
      </x:c>
    </x:row>
    <x:row r="16">
      <x:c r="A16" s="186" t="str">
        <x:v>Demand shock multiplier</x:v>
      </x:c>
      <x:c r="B16" s="203" t="n">
        <x:v>1.1</x:v>
      </x:c>
      <x:c r="C16" s="203" t="n">
        <x:v>1.35</x:v>
      </x:c>
      <x:c r="D16" s="203" t="n">
        <x:v>2</x:v>
      </x:c>
      <x:c r="E16" s="187" t="str">
        <x:v>x baseline</x:v>
      </x:c>
      <x:c r="F16" s="187" t="str">
        <x:v>Compound Poisson shock</x:v>
      </x:c>
      <x:c r="G16" s="187" t="str">
        <x:v>Expert estimate</x:v>
      </x:c>
      <x:c r="H16" s="188" t="str">
        <x:v>Low</x:v>
      </x:c>
    </x:row>
    <x:row r="17">
      <x:c r="A17" s="186" t="str">
        <x:v>Demand shocks per year</x:v>
      </x:c>
      <x:c r="B17" s="203" t="n">
        <x:v>0.1</x:v>
      </x:c>
      <x:c r="C17" s="203" t="n">
        <x:v>0.4</x:v>
      </x:c>
      <x:c r="D17" s="203" t="n">
        <x:v>1</x:v>
      </x:c>
      <x:c r="E17" s="187" t="str">
        <x:v>events/year</x:v>
      </x:c>
      <x:c r="F17" s="187" t="str">
        <x:v>Poisson</x:v>
      </x:c>
      <x:c r="G17" s="187" t="str">
        <x:v>Expert estimate</x:v>
      </x:c>
      <x:c r="H17" s="188" t="str">
        <x:v>Low</x:v>
      </x:c>
    </x:row>
    <x:row r="18">
      <x:c r="A18" s="186" t="str">
        <x:v>Demand shock duration</x:v>
      </x:c>
      <x:c r="B18" s="203" t="n">
        <x:v>7</x:v>
      </x:c>
      <x:c r="C18" s="203" t="n">
        <x:v>30</x:v>
      </x:c>
      <x:c r="D18" s="203" t="n">
        <x:v>90</x:v>
      </x:c>
      <x:c r="E18" s="187" t="str">
        <x:v>days</x:v>
      </x:c>
      <x:c r="F18" s="187" t="str">
        <x:v>Lognormal/triangular</x:v>
      </x:c>
      <x:c r="G18" s="187" t="str">
        <x:v>Expert estimate</x:v>
      </x:c>
      <x:c r="H18" s="188" t="str">
        <x:v>Low</x:v>
      </x:c>
    </x:row>
    <x:row r="19">
      <x:c r="A19" s="186" t="str">
        <x:v>Site failures per site-year</x:v>
      </x:c>
      <x:c r="B19" s="203" t="n">
        <x:v>0.05</x:v>
      </x:c>
      <x:c r="C19" s="203" t="n">
        <x:v>0.2</x:v>
      </x:c>
      <x:c r="D19" s="203" t="n">
        <x:v>0.6</x:v>
      </x:c>
      <x:c r="E19" s="187" t="str">
        <x:v>events/site-year</x:v>
      </x:c>
      <x:c r="F19" s="187" t="str">
        <x:v>Poisson; calibrate to history</x:v>
      </x:c>
      <x:c r="G19" s="187" t="str">
        <x:v>Expert estimate</x:v>
      </x:c>
      <x:c r="H19" s="188" t="str">
        <x:v>Low</x:v>
      </x:c>
    </x:row>
    <x:row r="20">
      <x:c r="A20" s="186" t="str">
        <x:v>Site failure duration</x:v>
      </x:c>
      <x:c r="B20" s="203" t="n">
        <x:v>7</x:v>
      </x:c>
      <x:c r="C20" s="203" t="n">
        <x:v>45</x:v>
      </x:c>
      <x:c r="D20" s="203" t="n">
        <x:v>180</x:v>
      </x:c>
      <x:c r="E20" s="187" t="str">
        <x:v>days</x:v>
      </x:c>
      <x:c r="F20" s="187" t="str">
        <x:v>Lognormal</x:v>
      </x:c>
      <x:c r="G20" s="187" t="str">
        <x:v>Expert estimate</x:v>
      </x:c>
      <x:c r="H20" s="188" t="str">
        <x:v>Low</x:v>
      </x:c>
    </x:row>
    <x:row r="21">
      <x:c r="A21" s="186" t="str">
        <x:v>Common-cause events/year</x:v>
      </x:c>
      <x:c r="B21" s="203" t="n">
        <x:v>0.02</x:v>
      </x:c>
      <x:c r="C21" s="203" t="n">
        <x:v>0.1</x:v>
      </x:c>
      <x:c r="D21" s="203" t="n">
        <x:v>0.3</x:v>
      </x:c>
      <x:c r="E21" s="187" t="str">
        <x:v>events/year</x:v>
      </x:c>
      <x:c r="F21" s="187" t="str">
        <x:v>API/component/regulatory/weather</x:v>
      </x:c>
      <x:c r="G21" s="187" t="str">
        <x:v>Expert estimate</x:v>
      </x:c>
      <x:c r="H21" s="188" t="str">
        <x:v>Low</x:v>
      </x:c>
    </x:row>
    <x:row r="22">
      <x:c r="A22" s="186" t="str">
        <x:v>Common-cause duration</x:v>
      </x:c>
      <x:c r="B22" s="203" t="n">
        <x:v>14</x:v>
      </x:c>
      <x:c r="C22" s="203" t="n">
        <x:v>60</x:v>
      </x:c>
      <x:c r="D22" s="203" t="n">
        <x:v>240</x:v>
      </x:c>
      <x:c r="E22" s="187" t="str">
        <x:v>days</x:v>
      </x:c>
      <x:c r="F22" s="187" t="str">
        <x:v>Lognormal</x:v>
      </x:c>
      <x:c r="G22" s="187" t="str">
        <x:v>Expert estimate</x:v>
      </x:c>
      <x:c r="H22" s="188" t="str">
        <x:v>Low</x:v>
      </x:c>
    </x:row>
    <x:row r="23">
      <x:c r="A23" s="186" t="str">
        <x:v>Common-cause capacity impact</x:v>
      </x:c>
      <x:c r="B23" s="204" t="n">
        <x:v>0.2</x:v>
      </x:c>
      <x:c r="C23" s="204" t="n">
        <x:v>0.5</x:v>
      </x:c>
      <x:c r="D23" s="204" t="n">
        <x:v>1</x:v>
      </x:c>
      <x:c r="E23" s="187" t="str">
        <x:v>fraction</x:v>
      </x:c>
      <x:c r="F23" s="187" t="str">
        <x:v>Beta</x:v>
      </x:c>
      <x:c r="G23" s="187" t="str">
        <x:v>Expert estimate</x:v>
      </x:c>
      <x:c r="H23" s="188" t="str">
        <x:v>Low</x:v>
      </x:c>
    </x:row>
    <x:row r="24">
      <x:c r="A24" s="186" t="str">
        <x:v>Average unmet-demand severity</x:v>
      </x:c>
      <x:c r="B24" s="204" t="n">
        <x:v>0.1</x:v>
      </x:c>
      <x:c r="C24" s="204" t="n">
        <x:v>0.35</x:v>
      </x:c>
      <x:c r="D24" s="204" t="n">
        <x:v>0.8</x:v>
      </x:c>
      <x:c r="E24" s="187" t="str">
        <x:v>fraction</x:v>
      </x:c>
      <x:c r="F24" s="187" t="str">
        <x:v>For deterministic screen only</x:v>
      </x:c>
      <x:c r="G24" s="187" t="str">
        <x:v>Illustrative</x:v>
      </x:c>
      <x:c r="H24" s="188" t="str">
        <x:v>Low</x:v>
      </x:c>
    </x:row>
    <x:row r="25">
      <x:c r="A25" s="189" t="str">
        <x:v>Capital recovery factor</x:v>
      </x:c>
      <x:c r="B25" s="204" t="n">
        <x:v>0.10296</x:v>
      </x:c>
      <x:c r="C25" s="204" t="n">
        <x:v>0.16275</x:v>
      </x:c>
      <x:c r="D25" s="204" t="n">
        <x:v>0.24036</x:v>
      </x:c>
      <x:c r="E25" s="190" t="str">
        <x:v>annual factor</x:v>
      </x:c>
      <x:c r="F25" s="190" t="str">
        <x:v>Derived from discount rate and economic life; refresh if either changes</x:v>
      </x:c>
      <x:c r="G25" s="190" t="str">
        <x:v>Calculated</x:v>
      </x:c>
      <x:c r="H25" s="191" t="str">
        <x:v>Medium</x:v>
      </x:c>
    </x:row>
  </x:sheetData>
  <x:mergeCells>
    <x:mergeCell ref="A1:H1"/>
    <x:mergeCell ref="A2:H2"/>
  </x:mergeCells>
  <x:dataValidations count="1">
    <x:dataValidation type="list" sqref="H5:H25">
      <x:formula1>"High,Medium,Low"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13" hidden="0" customWidth="1"/>
    <x:col min="5" max="5" width="19" hidden="0" customWidth="1"/>
    <x:col min="6" max="6" width="38" hidden="0" customWidth="1"/>
    <x:col min="7" max="7" width="19" hidden="0" customWidth="1"/>
    <x:col min="8" max="8" width="18" hidden="0" customWidth="1"/>
  </x:cols>
  <x:sheetData>
    <x:row r="1" ht="30" customHeight="1">
      <x:c r="A1" s="230" t="str">
        <x:v>Product A - sodium bicarbonate injection</x:v>
      </x:c>
      <x:c r="B1" s="165"/>
      <x:c r="C1" s="165"/>
      <x:c r="D1" s="165"/>
      <x:c r="E1" s="165"/>
      <x:c r="F1" s="165"/>
      <x:c r="G1" s="165"/>
      <x:c r="H1" s="165"/>
    </x:row>
    <x:row r="2" ht="30" customHeight="1">
      <x:c r="A2" s="231" t="str">
        <x:v>Illustrative current/recurrent shortage case: 8.4%, 50 mL single-dose vial. Replace every yellow value before publishing.</x:v>
      </x:c>
      <x:c r="B2" s="165"/>
      <x:c r="C2" s="165"/>
      <x:c r="D2" s="165"/>
      <x:c r="E2" s="165"/>
      <x:c r="F2" s="165"/>
      <x:c r="G2" s="165"/>
      <x:c r="H2" s="165"/>
    </x:row>
    <x:row r="3">
      <x:c r="A3" s="165"/>
      <x:c r="B3" s="165"/>
      <x:c r="C3" s="165"/>
      <x:c r="D3" s="165"/>
      <x:c r="E3" s="165"/>
      <x:c r="F3" s="165"/>
      <x:c r="G3" s="165"/>
      <x:c r="H3" s="165"/>
    </x:row>
    <x:row r="4">
      <x:c r="A4" s="182" t="str">
        <x:v>Parameter</x:v>
      </x:c>
      <x:c r="B4" s="182" t="str">
        <x:v>Low</x:v>
      </x:c>
      <x:c r="C4" s="182" t="str">
        <x:v>Base</x:v>
      </x:c>
      <x:c r="D4" s="182" t="str">
        <x:v>High</x:v>
      </x:c>
      <x:c r="E4" s="182" t="str">
        <x:v>Units</x:v>
      </x:c>
      <x:c r="F4" s="182" t="str">
        <x:v>Role</x:v>
      </x:c>
      <x:c r="G4" s="182" t="str">
        <x:v>Source ID</x:v>
      </x:c>
      <x:c r="H4" s="182" t="str">
        <x:v>Status</x:v>
      </x:c>
    </x:row>
    <x:row r="5">
      <x:c r="A5" s="183" t="str">
        <x:v>Annual demand</x:v>
      </x:c>
      <x:c r="B5" s="203" t="n">
        <x:v>600000</x:v>
      </x:c>
      <x:c r="C5" s="203" t="n">
        <x:v>1200000</x:v>
      </x:c>
      <x:c r="D5" s="203" t="n">
        <x:v>2400000</x:v>
      </x:c>
      <x:c r="E5" s="184" t="str">
        <x:v>vials/year</x:v>
      </x:c>
      <x:c r="F5" s="184" t="str">
        <x:v>Demand denominator</x:v>
      </x:c>
      <x:c r="G5" s="184" t="str">
        <x:v>Hospital/GPO data needed</x:v>
      </x:c>
      <x:c r="H5" s="185" t="str">
        <x:v>Illustrative</x:v>
      </x:c>
    </x:row>
    <x:row r="6">
      <x:c r="A6" s="186" t="str">
        <x:v>Units per batch</x:v>
      </x:c>
      <x:c r="B6" s="203" t="n">
        <x:v>10000</x:v>
      </x:c>
      <x:c r="C6" s="203" t="n">
        <x:v>25000</x:v>
      </x:c>
      <x:c r="D6" s="203" t="n">
        <x:v>60000</x:v>
      </x:c>
      <x:c r="E6" s="187" t="str">
        <x:v>vials/batch</x:v>
      </x:c>
      <x:c r="F6" s="187" t="str">
        <x:v>Fill batch capacity</x:v>
      </x:c>
      <x:c r="G6" s="187" t="str">
        <x:v>Manufacturer interview needed</x:v>
      </x:c>
      <x:c r="H6" s="188" t="str">
        <x:v>Illustrative</x:v>
      </x:c>
    </x:row>
    <x:row r="7">
      <x:c r="A7" s="186" t="str">
        <x:v>Nominal batches per site-year</x:v>
      </x:c>
      <x:c r="B7" s="203" t="n">
        <x:v>30</x:v>
      </x:c>
      <x:c r="C7" s="203" t="n">
        <x:v>45</x:v>
      </x:c>
      <x:c r="D7" s="203" t="n">
        <x:v>70</x:v>
      </x:c>
      <x:c r="E7" s="187" t="str">
        <x:v>batches/year</x:v>
      </x:c>
      <x:c r="F7" s="187" t="str">
        <x:v>Scheduling capacity</x:v>
      </x:c>
      <x:c r="G7" s="187" t="str">
        <x:v>Manufacturer interview needed</x:v>
      </x:c>
      <x:c r="H7" s="188" t="str">
        <x:v>Illustrative</x:v>
      </x:c>
    </x:row>
    <x:row r="8">
      <x:c r="A8" s="186" t="str">
        <x:v>Yield</x:v>
      </x:c>
      <x:c r="B8" s="203" t="n">
        <x:v>0.9</x:v>
      </x:c>
      <x:c r="C8" s="203" t="n">
        <x:v>0.96</x:v>
      </x:c>
      <x:c r="D8" s="203" t="n">
        <x:v>0.99</x:v>
      </x:c>
      <x:c r="E8" s="187" t="str">
        <x:v>fraction</x:v>
      </x:c>
      <x:c r="F8" s="187" t="str">
        <x:v>Saleable output</x:v>
      </x:c>
      <x:c r="G8" s="187" t="str">
        <x:v>Manufacturer interview needed</x:v>
      </x:c>
      <x:c r="H8" s="188" t="str">
        <x:v>Illustrative</x:v>
      </x:c>
    </x:row>
    <x:row r="9">
      <x:c r="A9" s="186" t="str">
        <x:v>Uptime</x:v>
      </x:c>
      <x:c r="B9" s="203" t="n">
        <x:v>0.7</x:v>
      </x:c>
      <x:c r="C9" s="203" t="n">
        <x:v>0.85</x:v>
      </x:c>
      <x:c r="D9" s="203" t="n">
        <x:v>0.95</x:v>
      </x:c>
      <x:c r="E9" s="187" t="str">
        <x:v>fraction</x:v>
      </x:c>
      <x:c r="F9" s="187" t="str">
        <x:v>Available scheduled capacity</x:v>
      </x:c>
      <x:c r="G9" s="187" t="str">
        <x:v>Manufacturer interview needed</x:v>
      </x:c>
      <x:c r="H9" s="188" t="str">
        <x:v>Illustrative</x:v>
      </x:c>
    </x:row>
    <x:row r="10">
      <x:c r="A10" s="186" t="str">
        <x:v>Production cycle</x:v>
      </x:c>
      <x:c r="B10" s="203" t="n">
        <x:v>1</x:v>
      </x:c>
      <x:c r="C10" s="203" t="n">
        <x:v>3</x:v>
      </x:c>
      <x:c r="D10" s="203" t="n">
        <x:v>7</x:v>
      </x:c>
      <x:c r="E10" s="187" t="str">
        <x:v>days/batch</x:v>
      </x:c>
      <x:c r="F10" s="187" t="str">
        <x:v>Compounding/fill/inspection</x:v>
      </x:c>
      <x:c r="G10" s="187" t="str">
        <x:v>Manufacturer interview needed</x:v>
      </x:c>
      <x:c r="H10" s="188" t="str">
        <x:v>Illustrative</x:v>
      </x:c>
    </x:row>
    <x:row r="11">
      <x:c r="A11" s="186" t="str">
        <x:v>Release time</x:v>
      </x:c>
      <x:c r="B11" s="203" t="n">
        <x:v>5</x:v>
      </x:c>
      <x:c r="C11" s="203" t="n">
        <x:v>14</x:v>
      </x:c>
      <x:c r="D11" s="203" t="n">
        <x:v>28</x:v>
      </x:c>
      <x:c r="E11" s="187" t="str">
        <x:v>days/batch</x:v>
      </x:c>
      <x:c r="F11" s="187" t="str">
        <x:v>Conventional quality release</x:v>
      </x:c>
      <x:c r="G11" s="187" t="str">
        <x:v>Quality interview needed</x:v>
      </x:c>
      <x:c r="H11" s="188" t="str">
        <x:v>Illustrative</x:v>
      </x:c>
    </x:row>
    <x:row r="12">
      <x:c r="A12" s="186" t="str">
        <x:v>Material lead time</x:v>
      </x:c>
      <x:c r="B12" s="203" t="n">
        <x:v>30</x:v>
      </x:c>
      <x:c r="C12" s="203" t="n">
        <x:v>90</x:v>
      </x:c>
      <x:c r="D12" s="203" t="n">
        <x:v>240</x:v>
      </x:c>
      <x:c r="E12" s="187" t="str">
        <x:v>days</x:v>
      </x:c>
      <x:c r="F12" s="187" t="str">
        <x:v>API/components</x:v>
      </x:c>
      <x:c r="G12" s="187" t="str">
        <x:v>Supplier interview needed</x:v>
      </x:c>
      <x:c r="H12" s="188" t="str">
        <x:v>Illustrative</x:v>
      </x:c>
    </x:row>
    <x:row r="13">
      <x:c r="A13" s="186" t="str">
        <x:v>Setup/changeover time</x:v>
      </x:c>
      <x:c r="B13" s="203" t="n">
        <x:v>1</x:v>
      </x:c>
      <x:c r="C13" s="203" t="n">
        <x:v>3</x:v>
      </x:c>
      <x:c r="D13" s="203" t="n">
        <x:v>10</x:v>
      </x:c>
      <x:c r="E13" s="187" t="str">
        <x:v>days</x:v>
      </x:c>
      <x:c r="F13" s="187" t="str">
        <x:v>Campaign changeover</x:v>
      </x:c>
      <x:c r="G13" s="187" t="str">
        <x:v>Manufacturer interview needed</x:v>
      </x:c>
      <x:c r="H13" s="188" t="str">
        <x:v>Illustrative</x:v>
      </x:c>
    </x:row>
    <x:row r="14">
      <x:c r="A14" s="186" t="str">
        <x:v>Shelf life</x:v>
      </x:c>
      <x:c r="B14" s="203" t="n">
        <x:v>12</x:v>
      </x:c>
      <x:c r="C14" s="203" t="n">
        <x:v>24</x:v>
      </x:c>
      <x:c r="D14" s="203" t="n">
        <x:v>36</x:v>
      </x:c>
      <x:c r="E14" s="187" t="str">
        <x:v>months</x:v>
      </x:c>
      <x:c r="F14" s="187" t="str">
        <x:v>Inventory ceiling</x:v>
      </x:c>
      <x:c r="G14" s="187" t="str">
        <x:v>S22/stability data</x:v>
      </x:c>
      <x:c r="H14" s="188" t="str">
        <x:v>Illustrative</x:v>
      </x:c>
    </x:row>
    <x:row r="15">
      <x:c r="A15" s="186" t="str">
        <x:v>Variable materials</x:v>
      </x:c>
      <x:c r="B15" s="203" t="n">
        <x:v>0.25</x:v>
      </x:c>
      <x:c r="C15" s="203" t="n">
        <x:v>0.6</x:v>
      </x:c>
      <x:c r="D15" s="203" t="n">
        <x:v>1.5</x:v>
      </x:c>
      <x:c r="E15" s="187" t="str">
        <x:v>$/vial</x:v>
      </x:c>
      <x:c r="F15" s="187" t="str">
        <x:v>API, vial, stopper, label</x:v>
      </x:c>
      <x:c r="G15" s="187" t="str">
        <x:v>Supplier quotes needed</x:v>
      </x:c>
      <x:c r="H15" s="188" t="str">
        <x:v>Illustrative</x:v>
      </x:c>
    </x:row>
    <x:row r="16">
      <x:c r="A16" s="186" t="str">
        <x:v>Variable conversion labor/utilities</x:v>
      </x:c>
      <x:c r="B16" s="203" t="n">
        <x:v>0.2</x:v>
      </x:c>
      <x:c r="C16" s="203" t="n">
        <x:v>0.6</x:v>
      </x:c>
      <x:c r="D16" s="203" t="n">
        <x:v>1.5</x:v>
      </x:c>
      <x:c r="E16" s="187" t="str">
        <x:v>$/vial</x:v>
      </x:c>
      <x:c r="F16" s="187" t="str">
        <x:v>Incremental conversion</x:v>
      </x:c>
      <x:c r="G16" s="187" t="str">
        <x:v>Manufacturer interview needed</x:v>
      </x:c>
      <x:c r="H16" s="188" t="str">
        <x:v>Illustrative</x:v>
      </x:c>
    </x:row>
    <x:row r="17">
      <x:c r="A17" s="186" t="str">
        <x:v>Testing cost per batch</x:v>
      </x:c>
      <x:c r="B17" s="203" t="n">
        <x:v>10000</x:v>
      </x:c>
      <x:c r="C17" s="203" t="n">
        <x:v>30000</x:v>
      </x:c>
      <x:c r="D17" s="203" t="n">
        <x:v>100000</x:v>
      </x:c>
      <x:c r="E17" s="187" t="str">
        <x:v>$/batch</x:v>
      </x:c>
      <x:c r="F17" s="187" t="str">
        <x:v>QC/sterility/endotoxin/assay</x:v>
      </x:c>
      <x:c r="G17" s="187" t="str">
        <x:v>Quality interview needed</x:v>
      </x:c>
      <x:c r="H17" s="188" t="str">
        <x:v>Illustrative</x:v>
      </x:c>
    </x:row>
    <x:row r="18">
      <x:c r="A18" s="186" t="str">
        <x:v>Fixed QA/labor per site</x:v>
      </x:c>
      <x:c r="B18" s="203" t="n">
        <x:v>1500000</x:v>
      </x:c>
      <x:c r="C18" s="203" t="n">
        <x:v>3000000</x:v>
      </x:c>
      <x:c r="D18" s="203" t="n">
        <x:v>6000000</x:v>
      </x:c>
      <x:c r="E18" s="187" t="str">
        <x:v>$/site-year</x:v>
      </x:c>
      <x:c r="F18" s="187" t="str">
        <x:v>Release, quality, operations</x:v>
      </x:c>
      <x:c r="G18" s="187" t="str">
        <x:v>Industry interview needed</x:v>
      </x:c>
      <x:c r="H18" s="188" t="str">
        <x:v>Illustrative</x:v>
      </x:c>
    </x:row>
    <x:row r="19">
      <x:c r="A19" s="186" t="str">
        <x:v>Capital per site/node</x:v>
      </x:c>
      <x:c r="B19" s="203" t="n">
        <x:v>15000000</x:v>
      </x:c>
      <x:c r="C19" s="203" t="n">
        <x:v>40000000</x:v>
      </x:c>
      <x:c r="D19" s="203" t="n">
        <x:v>100000000</x:v>
      </x:c>
      <x:c r="E19" s="187" t="str">
        <x:v>$</x:v>
      </x:c>
      <x:c r="F19" s="187" t="str">
        <x:v>Installed/qualified capital</x:v>
      </x:c>
      <x:c r="G19" s="187" t="str">
        <x:v>Vendor + engineer estimates</x:v>
      </x:c>
      <x:c r="H19" s="188" t="str">
        <x:v>Illustrative</x:v>
      </x:c>
    </x:row>
    <x:row r="20">
      <x:c r="A20" s="186" t="str">
        <x:v>Product validation/tech transfer</x:v>
      </x:c>
      <x:c r="B20" s="203" t="n">
        <x:v>1000000</x:v>
      </x:c>
      <x:c r="C20" s="203" t="n">
        <x:v>4000000</x:v>
      </x:c>
      <x:c r="D20" s="203" t="n">
        <x:v>12000000</x:v>
      </x:c>
      <x:c r="E20" s="187" t="str">
        <x:v>$ one-time</x:v>
      </x:c>
      <x:c r="F20" s="187" t="str">
        <x:v>Product/site validation</x:v>
      </x:c>
      <x:c r="G20" s="187" t="str">
        <x:v>Regulatory/CMC review needed</x:v>
      </x:c>
      <x:c r="H20" s="188" t="str">
        <x:v>Illustrative</x:v>
      </x:c>
    </x:row>
    <x:row r="21">
      <x:c r="A21" s="186" t="str">
        <x:v>Distribution cost</x:v>
      </x:c>
      <x:c r="B21" s="203" t="n">
        <x:v>0.05</x:v>
      </x:c>
      <x:c r="C21" s="203" t="n">
        <x:v>0.2</x:v>
      </x:c>
      <x:c r="D21" s="203" t="n">
        <x:v>0.8</x:v>
      </x:c>
      <x:c r="E21" s="187" t="str">
        <x:v>$/vial</x:v>
      </x:c>
      <x:c r="F21" s="187" t="str">
        <x:v>Warehousing/transport</x:v>
      </x:c>
      <x:c r="G21" s="187" t="str">
        <x:v>Distributor interview needed</x:v>
      </x:c>
      <x:c r="H21" s="188" t="str">
        <x:v>Illustrative</x:v>
      </x:c>
    </x:row>
    <x:row r="22">
      <x:c r="A22" s="186" t="str">
        <x:v>Delivery time</x:v>
      </x:c>
      <x:c r="B22" s="203" t="n">
        <x:v>1</x:v>
      </x:c>
      <x:c r="C22" s="203" t="n">
        <x:v>2</x:v>
      </x:c>
      <x:c r="D22" s="203" t="n">
        <x:v>5</x:v>
      </x:c>
      <x:c r="E22" s="187" t="str">
        <x:v>days</x:v>
      </x:c>
      <x:c r="F22" s="187" t="str">
        <x:v>Release to hospital</x:v>
      </x:c>
      <x:c r="G22" s="187" t="str">
        <x:v>Distributor interview needed</x:v>
      </x:c>
      <x:c r="H22" s="188" t="str">
        <x:v>Illustrative</x:v>
      </x:c>
    </x:row>
    <x:row r="23">
      <x:c r="A23" s="186" t="str">
        <x:v>Expiry/scrap fraction</x:v>
      </x:c>
      <x:c r="B23" s="203" t="n">
        <x:v>0.005</x:v>
      </x:c>
      <x:c r="C23" s="203" t="n">
        <x:v>0.02</x:v>
      </x:c>
      <x:c r="D23" s="203" t="n">
        <x:v>0.08</x:v>
      </x:c>
      <x:c r="E23" s="187" t="str">
        <x:v>fraction/year</x:v>
      </x:c>
      <x:c r="F23" s="187" t="str">
        <x:v>Shelf-life/campaign waste</x:v>
      </x:c>
      <x:c r="G23" s="187" t="str">
        <x:v>Hospital/manufacturer data needed</x:v>
      </x:c>
      <x:c r="H23" s="188" t="str">
        <x:v>Illustrative</x:v>
      </x:c>
    </x:row>
    <x:row r="24">
      <x:c r="A24" s="189" t="str">
        <x:v>Target safety stock</x:v>
      </x:c>
      <x:c r="B24" s="203" t="n">
        <x:v>30</x:v>
      </x:c>
      <x:c r="C24" s="203" t="n">
        <x:v>60</x:v>
      </x:c>
      <x:c r="D24" s="203" t="n">
        <x:v>180</x:v>
      </x:c>
      <x:c r="E24" s="190" t="str">
        <x:v>days</x:v>
      </x:c>
      <x:c r="F24" s="190" t="str">
        <x:v>Finished goods policy</x:v>
      </x:c>
      <x:c r="G24" s="190" t="str">
        <x:v>S05/expert input</x:v>
      </x:c>
      <x:c r="H24" s="191" t="str">
        <x:v>Illustrative</x:v>
      </x:c>
    </x:row>
  </x:sheetData>
  <x:mergeCells>
    <x:mergeCell ref="A1:H1"/>
    <x:mergeCell ref="A2:H2"/>
  </x:mergeCells>
  <x:dataValidations count="1">
    <x:dataValidation type="list" sqref="H5:H24">
      <x:formula1>"Sourced,Expert-validated,Illustrative,Missing"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13" hidden="0" customWidth="1"/>
    <x:col min="5" max="5" width="19" hidden="0" customWidth="1"/>
    <x:col min="6" max="6" width="38" hidden="0" customWidth="1"/>
    <x:col min="7" max="7" width="19" hidden="0" customWidth="1"/>
    <x:col min="8" max="8" width="18" hidden="0" customWidth="1"/>
  </x:cols>
  <x:sheetData>
    <x:row r="1" ht="30" customHeight="1">
      <x:c r="A1" s="230" t="str">
        <x:v>Product B - norepinephrine bitartrate</x:v>
      </x:c>
      <x:c r="B1" s="165"/>
      <x:c r="C1" s="165"/>
      <x:c r="D1" s="165"/>
      <x:c r="E1" s="165"/>
      <x:c r="F1" s="165"/>
      <x:c r="G1" s="165"/>
      <x:c r="H1" s="165"/>
    </x:row>
    <x:row r="2" ht="30" customHeight="1">
      <x:c r="A2" s="231" t="str">
        <x:v>Illustrative resolved/recurrent comparator: 1 mg/mL, 4 mL single-dose vial. Replace every yellow value before publishing.</x:v>
      </x:c>
      <x:c r="B2" s="165"/>
      <x:c r="C2" s="165"/>
      <x:c r="D2" s="165"/>
      <x:c r="E2" s="165"/>
      <x:c r="F2" s="165"/>
      <x:c r="G2" s="165"/>
      <x:c r="H2" s="165"/>
    </x:row>
    <x:row r="3">
      <x:c r="A3" s="165"/>
      <x:c r="B3" s="165"/>
      <x:c r="C3" s="165"/>
      <x:c r="D3" s="165"/>
      <x:c r="E3" s="165"/>
      <x:c r="F3" s="165"/>
      <x:c r="G3" s="165"/>
      <x:c r="H3" s="165"/>
    </x:row>
    <x:row r="4">
      <x:c r="A4" s="182" t="str">
        <x:v>Parameter</x:v>
      </x:c>
      <x:c r="B4" s="182" t="str">
        <x:v>Low</x:v>
      </x:c>
      <x:c r="C4" s="182" t="str">
        <x:v>Base</x:v>
      </x:c>
      <x:c r="D4" s="182" t="str">
        <x:v>High</x:v>
      </x:c>
      <x:c r="E4" s="182" t="str">
        <x:v>Units</x:v>
      </x:c>
      <x:c r="F4" s="182" t="str">
        <x:v>Role</x:v>
      </x:c>
      <x:c r="G4" s="182" t="str">
        <x:v>Source ID</x:v>
      </x:c>
      <x:c r="H4" s="182" t="str">
        <x:v>Status</x:v>
      </x:c>
    </x:row>
    <x:row r="5">
      <x:c r="A5" s="183" t="str">
        <x:v>Annual demand</x:v>
      </x:c>
      <x:c r="B5" s="203" t="n">
        <x:v>500000</x:v>
      </x:c>
      <x:c r="C5" s="203" t="n">
        <x:v>900000</x:v>
      </x:c>
      <x:c r="D5" s="203" t="n">
        <x:v>1800000</x:v>
      </x:c>
      <x:c r="E5" s="184" t="str">
        <x:v>vials/year</x:v>
      </x:c>
      <x:c r="F5" s="184" t="str">
        <x:v>Demand denominator</x:v>
      </x:c>
      <x:c r="G5" s="184" t="str">
        <x:v>Hospital/GPO data needed</x:v>
      </x:c>
      <x:c r="H5" s="185" t="str">
        <x:v>Illustrative</x:v>
      </x:c>
    </x:row>
    <x:row r="6">
      <x:c r="A6" s="186" t="str">
        <x:v>Units per batch</x:v>
      </x:c>
      <x:c r="B6" s="203" t="n">
        <x:v>10000</x:v>
      </x:c>
      <x:c r="C6" s="203" t="n">
        <x:v>30000</x:v>
      </x:c>
      <x:c r="D6" s="203" t="n">
        <x:v>75000</x:v>
      </x:c>
      <x:c r="E6" s="187" t="str">
        <x:v>vials/batch</x:v>
      </x:c>
      <x:c r="F6" s="187" t="str">
        <x:v>Fill batch capacity</x:v>
      </x:c>
      <x:c r="G6" s="187" t="str">
        <x:v>Manufacturer interview needed</x:v>
      </x:c>
      <x:c r="H6" s="188" t="str">
        <x:v>Illustrative</x:v>
      </x:c>
    </x:row>
    <x:row r="7">
      <x:c r="A7" s="186" t="str">
        <x:v>Nominal batches per site-year</x:v>
      </x:c>
      <x:c r="B7" s="203" t="n">
        <x:v>30</x:v>
      </x:c>
      <x:c r="C7" s="203" t="n">
        <x:v>45</x:v>
      </x:c>
      <x:c r="D7" s="203" t="n">
        <x:v>70</x:v>
      </x:c>
      <x:c r="E7" s="187" t="str">
        <x:v>batches/year</x:v>
      </x:c>
      <x:c r="F7" s="187" t="str">
        <x:v>Scheduling capacity</x:v>
      </x:c>
      <x:c r="G7" s="187" t="str">
        <x:v>Manufacturer interview needed</x:v>
      </x:c>
      <x:c r="H7" s="188" t="str">
        <x:v>Illustrative</x:v>
      </x:c>
    </x:row>
    <x:row r="8">
      <x:c r="A8" s="186" t="str">
        <x:v>Yield</x:v>
      </x:c>
      <x:c r="B8" s="203" t="n">
        <x:v>0.9</x:v>
      </x:c>
      <x:c r="C8" s="203" t="n">
        <x:v>0.96</x:v>
      </x:c>
      <x:c r="D8" s="203" t="n">
        <x:v>0.99</x:v>
      </x:c>
      <x:c r="E8" s="187" t="str">
        <x:v>fraction</x:v>
      </x:c>
      <x:c r="F8" s="187" t="str">
        <x:v>Saleable output</x:v>
      </x:c>
      <x:c r="G8" s="187" t="str">
        <x:v>Manufacturer interview needed</x:v>
      </x:c>
      <x:c r="H8" s="188" t="str">
        <x:v>Illustrative</x:v>
      </x:c>
    </x:row>
    <x:row r="9">
      <x:c r="A9" s="186" t="str">
        <x:v>Uptime</x:v>
      </x:c>
      <x:c r="B9" s="203" t="n">
        <x:v>0.7</x:v>
      </x:c>
      <x:c r="C9" s="203" t="n">
        <x:v>0.85</x:v>
      </x:c>
      <x:c r="D9" s="203" t="n">
        <x:v>0.95</x:v>
      </x:c>
      <x:c r="E9" s="187" t="str">
        <x:v>fraction</x:v>
      </x:c>
      <x:c r="F9" s="187" t="str">
        <x:v>Available scheduled capacity</x:v>
      </x:c>
      <x:c r="G9" s="187" t="str">
        <x:v>Manufacturer interview needed</x:v>
      </x:c>
      <x:c r="H9" s="188" t="str">
        <x:v>Illustrative</x:v>
      </x:c>
    </x:row>
    <x:row r="10">
      <x:c r="A10" s="186" t="str">
        <x:v>Production cycle</x:v>
      </x:c>
      <x:c r="B10" s="203" t="n">
        <x:v>1</x:v>
      </x:c>
      <x:c r="C10" s="203" t="n">
        <x:v>3</x:v>
      </x:c>
      <x:c r="D10" s="203" t="n">
        <x:v>7</x:v>
      </x:c>
      <x:c r="E10" s="187" t="str">
        <x:v>days/batch</x:v>
      </x:c>
      <x:c r="F10" s="187" t="str">
        <x:v>Compounding/fill/inspection</x:v>
      </x:c>
      <x:c r="G10" s="187" t="str">
        <x:v>Manufacturer interview needed</x:v>
      </x:c>
      <x:c r="H10" s="188" t="str">
        <x:v>Illustrative</x:v>
      </x:c>
    </x:row>
    <x:row r="11">
      <x:c r="A11" s="186" t="str">
        <x:v>Release time</x:v>
      </x:c>
      <x:c r="B11" s="203" t="n">
        <x:v>5</x:v>
      </x:c>
      <x:c r="C11" s="203" t="n">
        <x:v>12</x:v>
      </x:c>
      <x:c r="D11" s="203" t="n">
        <x:v>28</x:v>
      </x:c>
      <x:c r="E11" s="187" t="str">
        <x:v>days/batch</x:v>
      </x:c>
      <x:c r="F11" s="187" t="str">
        <x:v>Conventional quality release</x:v>
      </x:c>
      <x:c r="G11" s="187" t="str">
        <x:v>Quality interview needed</x:v>
      </x:c>
      <x:c r="H11" s="188" t="str">
        <x:v>Illustrative</x:v>
      </x:c>
    </x:row>
    <x:row r="12">
      <x:c r="A12" s="186" t="str">
        <x:v>Material lead time</x:v>
      </x:c>
      <x:c r="B12" s="203" t="n">
        <x:v>30</x:v>
      </x:c>
      <x:c r="C12" s="203" t="n">
        <x:v>90</x:v>
      </x:c>
      <x:c r="D12" s="203" t="n">
        <x:v>240</x:v>
      </x:c>
      <x:c r="E12" s="187" t="str">
        <x:v>days</x:v>
      </x:c>
      <x:c r="F12" s="187" t="str">
        <x:v>API/components</x:v>
      </x:c>
      <x:c r="G12" s="187" t="str">
        <x:v>Supplier interview needed</x:v>
      </x:c>
      <x:c r="H12" s="188" t="str">
        <x:v>Illustrative</x:v>
      </x:c>
    </x:row>
    <x:row r="13">
      <x:c r="A13" s="186" t="str">
        <x:v>Setup/changeover time</x:v>
      </x:c>
      <x:c r="B13" s="203" t="n">
        <x:v>1</x:v>
      </x:c>
      <x:c r="C13" s="203" t="n">
        <x:v>3</x:v>
      </x:c>
      <x:c r="D13" s="203" t="n">
        <x:v>10</x:v>
      </x:c>
      <x:c r="E13" s="187" t="str">
        <x:v>days</x:v>
      </x:c>
      <x:c r="F13" s="187" t="str">
        <x:v>Campaign changeover</x:v>
      </x:c>
      <x:c r="G13" s="187" t="str">
        <x:v>Manufacturer interview needed</x:v>
      </x:c>
      <x:c r="H13" s="188" t="str">
        <x:v>Illustrative</x:v>
      </x:c>
    </x:row>
    <x:row r="14">
      <x:c r="A14" s="186" t="str">
        <x:v>Shelf life</x:v>
      </x:c>
      <x:c r="B14" s="203" t="n">
        <x:v>12</x:v>
      </x:c>
      <x:c r="C14" s="203" t="n">
        <x:v>24</x:v>
      </x:c>
      <x:c r="D14" s="203" t="n">
        <x:v>30</x:v>
      </x:c>
      <x:c r="E14" s="187" t="str">
        <x:v>months</x:v>
      </x:c>
      <x:c r="F14" s="187" t="str">
        <x:v>Inventory ceiling/light protection</x:v>
      </x:c>
      <x:c r="G14" s="187" t="str">
        <x:v>S23/stability data</x:v>
      </x:c>
      <x:c r="H14" s="188" t="str">
        <x:v>Illustrative</x:v>
      </x:c>
    </x:row>
    <x:row r="15">
      <x:c r="A15" s="186" t="str">
        <x:v>Variable materials</x:v>
      </x:c>
      <x:c r="B15" s="203" t="n">
        <x:v>0.2</x:v>
      </x:c>
      <x:c r="C15" s="203" t="n">
        <x:v>0.55</x:v>
      </x:c>
      <x:c r="D15" s="203" t="n">
        <x:v>1.5</x:v>
      </x:c>
      <x:c r="E15" s="187" t="str">
        <x:v>$/vial</x:v>
      </x:c>
      <x:c r="F15" s="187" t="str">
        <x:v>API, vial, stopper, label</x:v>
      </x:c>
      <x:c r="G15" s="187" t="str">
        <x:v>Supplier quotes needed</x:v>
      </x:c>
      <x:c r="H15" s="188" t="str">
        <x:v>Illustrative</x:v>
      </x:c>
    </x:row>
    <x:row r="16">
      <x:c r="A16" s="186" t="str">
        <x:v>Variable conversion labor/utilities</x:v>
      </x:c>
      <x:c r="B16" s="203" t="n">
        <x:v>0.2</x:v>
      </x:c>
      <x:c r="C16" s="203" t="n">
        <x:v>0.6</x:v>
      </x:c>
      <x:c r="D16" s="203" t="n">
        <x:v>1.5</x:v>
      </x:c>
      <x:c r="E16" s="187" t="str">
        <x:v>$/vial</x:v>
      </x:c>
      <x:c r="F16" s="187" t="str">
        <x:v>Incremental conversion</x:v>
      </x:c>
      <x:c r="G16" s="187" t="str">
        <x:v>Manufacturer interview needed</x:v>
      </x:c>
      <x:c r="H16" s="188" t="str">
        <x:v>Illustrative</x:v>
      </x:c>
    </x:row>
    <x:row r="17">
      <x:c r="A17" s="186" t="str">
        <x:v>Testing cost per batch</x:v>
      </x:c>
      <x:c r="B17" s="203" t="n">
        <x:v>10000</x:v>
      </x:c>
      <x:c r="C17" s="203" t="n">
        <x:v>30000</x:v>
      </x:c>
      <x:c r="D17" s="203" t="n">
        <x:v>100000</x:v>
      </x:c>
      <x:c r="E17" s="187" t="str">
        <x:v>$/batch</x:v>
      </x:c>
      <x:c r="F17" s="187" t="str">
        <x:v>QC/sterility/endotoxin/assay</x:v>
      </x:c>
      <x:c r="G17" s="187" t="str">
        <x:v>Quality interview needed</x:v>
      </x:c>
      <x:c r="H17" s="188" t="str">
        <x:v>Illustrative</x:v>
      </x:c>
    </x:row>
    <x:row r="18">
      <x:c r="A18" s="186" t="str">
        <x:v>Fixed QA/labor per site</x:v>
      </x:c>
      <x:c r="B18" s="203" t="n">
        <x:v>1500000</x:v>
      </x:c>
      <x:c r="C18" s="203" t="n">
        <x:v>3000000</x:v>
      </x:c>
      <x:c r="D18" s="203" t="n">
        <x:v>6000000</x:v>
      </x:c>
      <x:c r="E18" s="187" t="str">
        <x:v>$/site-year</x:v>
      </x:c>
      <x:c r="F18" s="187" t="str">
        <x:v>Release, quality, operations</x:v>
      </x:c>
      <x:c r="G18" s="187" t="str">
        <x:v>Industry interview needed</x:v>
      </x:c>
      <x:c r="H18" s="188" t="str">
        <x:v>Illustrative</x:v>
      </x:c>
    </x:row>
    <x:row r="19">
      <x:c r="A19" s="186" t="str">
        <x:v>Capital per site/node</x:v>
      </x:c>
      <x:c r="B19" s="203" t="n">
        <x:v>15000000</x:v>
      </x:c>
      <x:c r="C19" s="203" t="n">
        <x:v>40000000</x:v>
      </x:c>
      <x:c r="D19" s="203" t="n">
        <x:v>100000000</x:v>
      </x:c>
      <x:c r="E19" s="187" t="str">
        <x:v>$</x:v>
      </x:c>
      <x:c r="F19" s="187" t="str">
        <x:v>Installed/qualified capital</x:v>
      </x:c>
      <x:c r="G19" s="187" t="str">
        <x:v>Vendor + engineer estimates</x:v>
      </x:c>
      <x:c r="H19" s="188" t="str">
        <x:v>Illustrative</x:v>
      </x:c>
    </x:row>
    <x:row r="20">
      <x:c r="A20" s="186" t="str">
        <x:v>Product validation/tech transfer</x:v>
      </x:c>
      <x:c r="B20" s="203" t="n">
        <x:v>1000000</x:v>
      </x:c>
      <x:c r="C20" s="203" t="n">
        <x:v>4000000</x:v>
      </x:c>
      <x:c r="D20" s="203" t="n">
        <x:v>12000000</x:v>
      </x:c>
      <x:c r="E20" s="187" t="str">
        <x:v>$ one-time</x:v>
      </x:c>
      <x:c r="F20" s="187" t="str">
        <x:v>Product/site validation</x:v>
      </x:c>
      <x:c r="G20" s="187" t="str">
        <x:v>Regulatory/CMC review needed</x:v>
      </x:c>
      <x:c r="H20" s="188" t="str">
        <x:v>Illustrative</x:v>
      </x:c>
    </x:row>
    <x:row r="21">
      <x:c r="A21" s="186" t="str">
        <x:v>Distribution cost</x:v>
      </x:c>
      <x:c r="B21" s="203" t="n">
        <x:v>0.05</x:v>
      </x:c>
      <x:c r="C21" s="203" t="n">
        <x:v>0.2</x:v>
      </x:c>
      <x:c r="D21" s="203" t="n">
        <x:v>0.8</x:v>
      </x:c>
      <x:c r="E21" s="187" t="str">
        <x:v>$/vial</x:v>
      </x:c>
      <x:c r="F21" s="187" t="str">
        <x:v>Warehousing/transport</x:v>
      </x:c>
      <x:c r="G21" s="187" t="str">
        <x:v>Distributor interview needed</x:v>
      </x:c>
      <x:c r="H21" s="188" t="str">
        <x:v>Illustrative</x:v>
      </x:c>
    </x:row>
    <x:row r="22">
      <x:c r="A22" s="186" t="str">
        <x:v>Delivery time</x:v>
      </x:c>
      <x:c r="B22" s="203" t="n">
        <x:v>1</x:v>
      </x:c>
      <x:c r="C22" s="203" t="n">
        <x:v>2</x:v>
      </x:c>
      <x:c r="D22" s="203" t="n">
        <x:v>5</x:v>
      </x:c>
      <x:c r="E22" s="187" t="str">
        <x:v>days</x:v>
      </x:c>
      <x:c r="F22" s="187" t="str">
        <x:v>Release to hospital</x:v>
      </x:c>
      <x:c r="G22" s="187" t="str">
        <x:v>Distributor interview needed</x:v>
      </x:c>
      <x:c r="H22" s="188" t="str">
        <x:v>Illustrative</x:v>
      </x:c>
    </x:row>
    <x:row r="23">
      <x:c r="A23" s="186" t="str">
        <x:v>Expiry/scrap fraction</x:v>
      </x:c>
      <x:c r="B23" s="203" t="n">
        <x:v>0.005</x:v>
      </x:c>
      <x:c r="C23" s="203" t="n">
        <x:v>0.02</x:v>
      </x:c>
      <x:c r="D23" s="203" t="n">
        <x:v>0.08</x:v>
      </x:c>
      <x:c r="E23" s="187" t="str">
        <x:v>fraction/year</x:v>
      </x:c>
      <x:c r="F23" s="187" t="str">
        <x:v>Shelf-life/campaign waste</x:v>
      </x:c>
      <x:c r="G23" s="187" t="str">
        <x:v>Hospital/manufacturer data needed</x:v>
      </x:c>
      <x:c r="H23" s="188" t="str">
        <x:v>Illustrative</x:v>
      </x:c>
    </x:row>
    <x:row r="24">
      <x:c r="A24" s="189" t="str">
        <x:v>Target safety stock</x:v>
      </x:c>
      <x:c r="B24" s="203" t="n">
        <x:v>30</x:v>
      </x:c>
      <x:c r="C24" s="203" t="n">
        <x:v>60</x:v>
      </x:c>
      <x:c r="D24" s="203" t="n">
        <x:v>180</x:v>
      </x:c>
      <x:c r="E24" s="190" t="str">
        <x:v>days</x:v>
      </x:c>
      <x:c r="F24" s="190" t="str">
        <x:v>Finished goods policy</x:v>
      </x:c>
      <x:c r="G24" s="190" t="str">
        <x:v>S05/expert input</x:v>
      </x:c>
      <x:c r="H24" s="191" t="str">
        <x:v>Illustrative</x:v>
      </x:c>
    </x:row>
  </x:sheetData>
  <x:mergeCells>
    <x:mergeCell ref="A1:H1"/>
    <x:mergeCell ref="A2:H2"/>
  </x:mergeCells>
  <x:dataValidations count="1">
    <x:dataValidation type="list" sqref="H5:H24">
      <x:formula1>"Sourced,Expert-validated,Illustrative,Missing"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3" hidden="0" customWidth="1"/>
    <x:col min="3" max="3" width="15" hidden="0" customWidth="1"/>
    <x:col min="4" max="4" width="17" hidden="0" customWidth="1"/>
    <x:col min="5" max="5" width="18" hidden="0" customWidth="1"/>
    <x:col min="6" max="6" width="14" hidden="0" customWidth="1"/>
    <x:col min="7" max="7" width="20" hidden="0" customWidth="1"/>
    <x:col min="8" max="8" width="17" hidden="0" customWidth="1"/>
    <x:col min="9" max="9" width="17" hidden="0" customWidth="1"/>
    <x:col min="10" max="10" width="18" hidden="0" customWidth="1"/>
    <x:col min="11" max="11" width="19" hidden="0" customWidth="1"/>
    <x:col min="12" max="12" width="14" hidden="0" customWidth="1"/>
    <x:col min="13" max="13" width="17" hidden="0" customWidth="1"/>
    <x:col min="14" max="14" width="42" hidden="0" customWidth="1"/>
  </x:cols>
  <x:sheetData>
    <x:row r="1" ht="30" customHeight="1">
      <x:c r="A1" s="230" t="str">
        <x:v>Strategy configuration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</x:row>
    <x:row r="2" ht="30" customHeight="1">
      <x:c r="A2" s="231" t="str">
        <x:v>Each strategy must be optimized to the same service requirement. These values are illustrative starting configurations, not conclusions.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</x:row>
    <x:row r="4">
      <x:c r="A4" s="182" t="str">
        <x:v>Strategy</x:v>
      </x:c>
      <x:c r="B4" s="182" t="str">
        <x:v>Sites/nodes</x:v>
      </x:c>
      <x:c r="C4" s="182" t="str">
        <x:v>Capacity factor</x:v>
      </x:c>
      <x:c r="D4" s="182" t="str">
        <x:v>Safety stock days</x:v>
      </x:c>
      <x:c r="E4" s="182" t="str">
        <x:v>Release-time factor</x:v>
      </x:c>
      <x:c r="F4" s="182" t="str">
        <x:v>Delivery days</x:v>
      </x:c>
      <x:c r="G4" s="182" t="str">
        <x:v>Common impact factor</x:v>
      </x:c>
      <x:c r="H4" s="182" t="str">
        <x:v>Fixed-cost factor</x:v>
      </x:c>
      <x:c r="I4" s="182" t="str">
        <x:v>Validation factor</x:v>
      </x:c>
      <x:c r="J4" s="182" t="str">
        <x:v>Reserved capacity %</x:v>
      </x:c>
      <x:c r="K4" s="182" t="str">
        <x:v>Pathway</x:v>
      </x:c>
      <x:c r="L4" s="182" t="str">
        <x:v>Eligible?</x:v>
      </x:c>
      <x:c r="M4" s="182" t="str">
        <x:v>Evidence status</x:v>
      </x:c>
      <x:c r="N4" s="182" t="str">
        <x:v>Interpretation</x:v>
      </x:c>
    </x:row>
    <x:row r="5">
      <x:c r="A5" s="183" t="str">
        <x:v>Status quo centralized</x:v>
      </x:c>
      <x:c r="B5" s="203" t="n">
        <x:v>1</x:v>
      </x:c>
      <x:c r="C5" s="205" t="n">
        <x:v>1.05</x:v>
      </x:c>
      <x:c r="D5" s="203" t="n">
        <x:v>30</x:v>
      </x:c>
      <x:c r="E5" s="205" t="n">
        <x:v>1</x:v>
      </x:c>
      <x:c r="F5" s="203" t="n">
        <x:v>5</x:v>
      </x:c>
      <x:c r="G5" s="205" t="n">
        <x:v>1</x:v>
      </x:c>
      <x:c r="H5" s="205" t="n">
        <x:v>1</x:v>
      </x:c>
      <x:c r="I5" s="205" t="n">
        <x:v>1</x:v>
      </x:c>
      <x:c r="J5" s="206" t="n">
        <x:v>0</x:v>
      </x:c>
      <x:c r="K5" s="184" t="str">
        <x:v>Approved/CMO</x:v>
      </x:c>
      <x:c r="L5" s="184" t="str">
        <x:v>YES</x:v>
      </x:c>
      <x:c r="M5" s="184" t="str">
        <x:v>Illustrative</x:v>
      </x:c>
      <x:c r="N5" s="185" t="str">
        <x:v>Current concentrated supply</x:v>
      </x:c>
    </x:row>
    <x:row r="6">
      <x:c r="A6" s="186" t="str">
        <x:v>Additional safety stock</x:v>
      </x:c>
      <x:c r="B6" s="203" t="n">
        <x:v>1</x:v>
      </x:c>
      <x:c r="C6" s="205" t="n">
        <x:v>1.05</x:v>
      </x:c>
      <x:c r="D6" s="203" t="n">
        <x:v>180</x:v>
      </x:c>
      <x:c r="E6" s="205" t="n">
        <x:v>1</x:v>
      </x:c>
      <x:c r="F6" s="203" t="n">
        <x:v>5</x:v>
      </x:c>
      <x:c r="G6" s="205" t="n">
        <x:v>1</x:v>
      </x:c>
      <x:c r="H6" s="205" t="n">
        <x:v>1</x:v>
      </x:c>
      <x:c r="I6" s="205" t="n">
        <x:v>1</x:v>
      </x:c>
      <x:c r="J6" s="206" t="n">
        <x:v>0</x:v>
      </x:c>
      <x:c r="K6" s="187" t="str">
        <x:v>Approved/CMO</x:v>
      </x:c>
      <x:c r="L6" s="187" t="str">
        <x:v>YES</x:v>
      </x:c>
      <x:c r="M6" s="187" t="str">
        <x:v>Illustrative</x:v>
      </x:c>
      <x:c r="N6" s="188" t="str">
        <x:v>Six-month inventory comparator</x:v>
      </x:c>
    </x:row>
    <x:row r="7">
      <x:c r="A7" s="186" t="str">
        <x:v>Dual source + contracts</x:v>
      </x:c>
      <x:c r="B7" s="203" t="n">
        <x:v>2</x:v>
      </x:c>
      <x:c r="C7" s="205" t="n">
        <x:v>1.2</x:v>
      </x:c>
      <x:c r="D7" s="203" t="n">
        <x:v>60</x:v>
      </x:c>
      <x:c r="E7" s="205" t="n">
        <x:v>1</x:v>
      </x:c>
      <x:c r="F7" s="203" t="n">
        <x:v>4</x:v>
      </x:c>
      <x:c r="G7" s="205" t="n">
        <x:v>0.65</x:v>
      </x:c>
      <x:c r="H7" s="205" t="n">
        <x:v>1.15</x:v>
      </x:c>
      <x:c r="I7" s="205" t="n">
        <x:v>1.5</x:v>
      </x:c>
      <x:c r="J7" s="206" t="n">
        <x:v>0</x:v>
      </x:c>
      <x:c r="K7" s="187" t="str">
        <x:v>Approved/CMO</x:v>
      </x:c>
      <x:c r="L7" s="187" t="str">
        <x:v>YES</x:v>
      </x:c>
      <x:c r="M7" s="187" t="str">
        <x:v>Illustrative</x:v>
      </x:c>
      <x:c r="N7" s="188" t="str">
        <x:v>Independent qualified source where possible</x:v>
      </x:c>
    </x:row>
    <x:row r="8">
      <x:c r="A8" s="186" t="str">
        <x:v>Reserved contract capacity</x:v>
      </x:c>
      <x:c r="B8" s="203" t="n">
        <x:v>2</x:v>
      </x:c>
      <x:c r="C8" s="205" t="n">
        <x:v>1.3</x:v>
      </x:c>
      <x:c r="D8" s="203" t="n">
        <x:v>60</x:v>
      </x:c>
      <x:c r="E8" s="205" t="n">
        <x:v>1</x:v>
      </x:c>
      <x:c r="F8" s="203" t="n">
        <x:v>4</x:v>
      </x:c>
      <x:c r="G8" s="205" t="n">
        <x:v>0.65</x:v>
      </x:c>
      <x:c r="H8" s="205" t="n">
        <x:v>1.2</x:v>
      </x:c>
      <x:c r="I8" s="205" t="n">
        <x:v>1.5</x:v>
      </x:c>
      <x:c r="J8" s="206" t="n">
        <x:v>0.25</x:v>
      </x:c>
      <x:c r="K8" s="187" t="str">
        <x:v>Approved/CMO</x:v>
      </x:c>
      <x:c r="L8" s="187" t="str">
        <x:v>YES</x:v>
      </x:c>
      <x:c r="M8" s="187" t="str">
        <x:v>Illustrative</x:v>
      </x:c>
      <x:c r="N8" s="188" t="str">
        <x:v>Capacity reservation/commitment</x:v>
      </x:c>
    </x:row>
    <x:row r="9">
      <x:c r="A9" s="186" t="str">
        <x:v>Additional centralized capacity</x:v>
      </x:c>
      <x:c r="B9" s="203" t="n">
        <x:v>2</x:v>
      </x:c>
      <x:c r="C9" s="205" t="n">
        <x:v>1.45</x:v>
      </x:c>
      <x:c r="D9" s="203" t="n">
        <x:v>60</x:v>
      </x:c>
      <x:c r="E9" s="205" t="n">
        <x:v>1</x:v>
      </x:c>
      <x:c r="F9" s="203" t="n">
        <x:v>5</x:v>
      </x:c>
      <x:c r="G9" s="205" t="n">
        <x:v>0.75</x:v>
      </x:c>
      <x:c r="H9" s="205" t="n">
        <x:v>1.1</x:v>
      </x:c>
      <x:c r="I9" s="205" t="n">
        <x:v>1.5</x:v>
      </x:c>
      <x:c r="J9" s="206" t="n">
        <x:v>0</x:v>
      </x:c>
      <x:c r="K9" s="187" t="str">
        <x:v>Approved/CMO</x:v>
      </x:c>
      <x:c r="L9" s="187" t="str">
        <x:v>UNCERTAIN</x:v>
      </x:c>
      <x:c r="M9" s="187" t="str">
        <x:v>Illustrative</x:v>
      </x:c>
      <x:c r="N9" s="188" t="str">
        <x:v>New or expanded large-site capacity</x:v>
      </x:c>
    </x:row>
    <x:row r="10">
      <x:c r="A10" s="186" t="str">
        <x:v>Distributed regional nodes</x:v>
      </x:c>
      <x:c r="B10" s="203" t="n">
        <x:v>4</x:v>
      </x:c>
      <x:c r="C10" s="205" t="n">
        <x:v>1.35</x:v>
      </x:c>
      <x:c r="D10" s="203" t="n">
        <x:v>45</x:v>
      </x:c>
      <x:c r="E10" s="205" t="n">
        <x:v>1</x:v>
      </x:c>
      <x:c r="F10" s="203" t="n">
        <x:v>2</x:v>
      </x:c>
      <x:c r="G10" s="205" t="n">
        <x:v>0.45</x:v>
      </x:c>
      <x:c r="H10" s="205" t="n">
        <x:v>1.4</x:v>
      </x:c>
      <x:c r="I10" s="205" t="n">
        <x:v>2.5</x:v>
      </x:c>
      <x:c r="J10" s="206" t="n">
        <x:v>0</x:v>
      </x:c>
      <x:c r="K10" s="187" t="str">
        <x:v>Approved/CMO</x:v>
      </x:c>
      <x:c r="L10" s="187" t="str">
        <x:v>UNCERTAIN</x:v>
      </x:c>
      <x:c r="M10" s="187" t="str">
        <x:v>Illustrative</x:v>
      </x:c>
      <x:c r="N10" s="188" t="str">
        <x:v>Conventional release, smaller nodes</x:v>
      </x:c>
    </x:row>
    <x:row r="11">
      <x:c r="A11" s="186" t="str">
        <x:v>Distributed + validated release assurance</x:v>
      </x:c>
      <x:c r="B11" s="203" t="n">
        <x:v>4</x:v>
      </x:c>
      <x:c r="C11" s="205" t="n">
        <x:v>1.35</x:v>
      </x:c>
      <x:c r="D11" s="203" t="n">
        <x:v>45</x:v>
      </x:c>
      <x:c r="E11" s="205" t="n">
        <x:v>0.6</x:v>
      </x:c>
      <x:c r="F11" s="203" t="n">
        <x:v>2</x:v>
      </x:c>
      <x:c r="G11" s="205" t="n">
        <x:v>0.45</x:v>
      </x:c>
      <x:c r="H11" s="205" t="n">
        <x:v>1.5</x:v>
      </x:c>
      <x:c r="I11" s="205" t="n">
        <x:v>3</x:v>
      </x:c>
      <x:c r="J11" s="206" t="n">
        <x:v>0</x:v>
      </x:c>
      <x:c r="K11" s="187" t="str">
        <x:v>Approved/CMO</x:v>
      </x:c>
      <x:c r="L11" s="187" t="str">
        <x:v>UNCERTAIN</x:v>
      </x:c>
      <x:c r="M11" s="187" t="str">
        <x:v>Illustrative</x:v>
      </x:c>
      <x:c r="N11" s="188" t="str">
        <x:v>Upper-bound scenario only after product-specific validation</x:v>
      </x:c>
    </x:row>
    <x:row r="12">
      <x:c r="A12" s="189" t="str">
        <x:v>503B shortage response</x:v>
      </x:c>
      <x:c r="B12" s="203" t="n">
        <x:v>2</x:v>
      </x:c>
      <x:c r="C12" s="205" t="n">
        <x:v>1.15</x:v>
      </x:c>
      <x:c r="D12" s="203" t="n">
        <x:v>30</x:v>
      </x:c>
      <x:c r="E12" s="205" t="n">
        <x:v>1</x:v>
      </x:c>
      <x:c r="F12" s="203" t="n">
        <x:v>3</x:v>
      </x:c>
      <x:c r="G12" s="205" t="n">
        <x:v>0.7</x:v>
      </x:c>
      <x:c r="H12" s="205" t="n">
        <x:v>1.25</x:v>
      </x:c>
      <x:c r="I12" s="205" t="n">
        <x:v>1</x:v>
      </x:c>
      <x:c r="J12" s="206" t="n">
        <x:v>0.15</x:v>
      </x:c>
      <x:c r="K12" s="190" t="str">
        <x:v>503B</x:v>
      </x:c>
      <x:c r="L12" s="190" t="str">
        <x:v>UNCERTAIN</x:v>
      </x:c>
      <x:c r="M12" s="190" t="str">
        <x:v>Illustrative</x:v>
      </x:c>
      <x:c r="N12" s="191" t="str">
        <x:v>Temporary/status-dependent response pathway</x:v>
      </x:c>
    </x:row>
  </x:sheetData>
  <x:mergeCells>
    <x:mergeCell ref="A1:N1"/>
    <x:mergeCell ref="A2:N2"/>
  </x:mergeCells>
  <x:dataValidations count="1">
    <x:dataValidation type="list" sqref="L5:L12">
      <x:formula1>"YES,NO,UNCERTAIN"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0" hidden="0" customWidth="1"/>
    <x:col min="4" max="4" width="16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8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5" hidden="0" customWidth="1"/>
    <x:col min="16" max="16" width="22" hidden="0" customWidth="1"/>
    <x:col min="17" max="17" width="15" hidden="0" customWidth="1"/>
    <x:col min="18" max="18" width="21" hidden="0" customWidth="1"/>
    <x:col min="19" max="19" width="19" hidden="0" customWidth="1"/>
    <x:col min="20" max="20" width="13" hidden="0" customWidth="1"/>
    <x:col min="21" max="21" width="15" hidden="0" customWidth="1"/>
    <x:col min="22" max="22" width="24" hidden="0" customWidth="1"/>
  </x:cols>
  <x:sheetData>
    <x:row r="1" ht="30" customHeight="1">
      <x:c r="A1" s="230" t="str">
        <x:v>Deterministic techno-economic screen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  <x:c r="O1" s="165"/>
      <x:c r="P1" s="165"/>
      <x:c r="Q1" s="165"/>
      <x:c r="R1" s="165"/>
      <x:c r="S1" s="165"/>
      <x:c r="T1" s="165"/>
      <x:c r="U1" s="165"/>
      <x:c r="V1" s="165"/>
    </x:row>
    <x:row r="2" ht="30" customHeight="1">
      <x:c r="A2" s="231" t="str">
        <x:v>Formula-driven first pass. It is not the publication-grade reliability result; that comes from the seeded network simulation.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  <x:c r="O2" s="165"/>
      <x:c r="P2" s="165"/>
      <x:c r="Q2" s="165"/>
      <x:c r="R2" s="165"/>
      <x:c r="S2" s="165"/>
      <x:c r="T2" s="165"/>
      <x:c r="U2" s="165"/>
      <x:c r="V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  <x:c r="O3" s="165"/>
      <x:c r="P3" s="165"/>
      <x:c r="Q3" s="165"/>
      <x:c r="R3" s="165"/>
      <x:c r="S3" s="165"/>
      <x:c r="T3" s="165"/>
      <x:c r="U3" s="165"/>
      <x:c r="V3" s="165"/>
    </x:row>
    <x:row r="4">
      <x:c r="A4" s="182" t="str">
        <x:v>Product</x:v>
      </x:c>
      <x:c r="B4" s="182" t="str">
        <x:v>Strategy</x:v>
      </x:c>
      <x:c r="C4" s="182" t="str">
        <x:v>Sites</x:v>
      </x:c>
      <x:c r="D4" s="182" t="str">
        <x:v>Annual demand</x:v>
      </x:c>
      <x:c r="E4" s="182" t="str">
        <x:v>Units/batch</x:v>
      </x:c>
      <x:c r="F4" s="182" t="str">
        <x:v>Batches/site-year</x:v>
      </x:c>
      <x:c r="G4" s="182" t="str">
        <x:v>Yield</x:v>
      </x:c>
      <x:c r="H4" s="182" t="str">
        <x:v>Uptime</x:v>
      </x:c>
      <x:c r="I4" s="182" t="str">
        <x:v>Saleable capacity</x:v>
      </x:c>
      <x:c r="J4" s="182" t="str">
        <x:v>Utilization</x:v>
      </x:c>
      <x:c r="K4" s="182" t="str">
        <x:v>Annualized capex</x:v>
      </x:c>
      <x:c r="L4" s="182" t="str">
        <x:v>Fixed QA/labor</x:v>
      </x:c>
      <x:c r="M4" s="182" t="str">
        <x:v>Validation annualized</x:v>
      </x:c>
      <x:c r="N4" s="182" t="str">
        <x:v>Variable production</x:v>
      </x:c>
      <x:c r="O4" s="182" t="str">
        <x:v>Testing</x:v>
      </x:c>
      <x:c r="P4" s="182" t="str">
        <x:v>Inventory carrying + expiry</x:v>
      </x:c>
      <x:c r="Q4" s="182" t="str">
        <x:v>Distribution</x:v>
      </x:c>
      <x:c r="R4" s="182" t="str">
        <x:v>Reserved capacity cost</x:v>
      </x:c>
      <x:c r="S4" s="182" t="str">
        <x:v>Total annual cost</x:v>
      </x:c>
      <x:c r="T4" s="182" t="str">
        <x:v>Cost/unit</x:v>
      </x:c>
      <x:c r="U4" s="182" t="str">
        <x:v>Response days</x:v>
      </x:c>
      <x:c r="V4" s="182" t="str">
        <x:v>Expected shortage-days (screen)</x:v>
      </x:c>
    </x:row>
    <x:row r="5">
      <x:c r="A5" s="183" t="str">
        <x:v>Product A</x:v>
      </x:c>
      <x:c r="B5" s="184" t="str">
        <x:v>Status quo centralized</x:v>
      </x:c>
      <x:c r="C5" s="184" t="n">
        <x:f>'08_Strategies'!B5</x:f>
        <x:v>1</x:v>
      </x:c>
      <x:c r="D5" s="184" t="n">
        <x:f>'06_Product_A'!C5</x:f>
        <x:v>1200000</x:v>
      </x:c>
      <x:c r="E5" s="184" t="n">
        <x:f>'06_Product_A'!C6</x:f>
        <x:v>25000</x:v>
      </x:c>
      <x:c r="F5" s="184" t="n">
        <x:f>'06_Product_A'!C7*'08_Strategies'!C5</x:f>
        <x:v>47.25</x:v>
      </x:c>
      <x:c r="G5" s="207" t="n">
        <x:f>'06_Product_A'!C8</x:f>
        <x:v>0.96</x:v>
      </x:c>
      <x:c r="H5" s="207" t="n">
        <x:f>'06_Product_A'!C9</x:f>
        <x:v>0.85</x:v>
      </x:c>
      <x:c r="I5" s="184" t="n">
        <x:f>C5*E5*F5*G5*H5</x:f>
        <x:v>963900</x:v>
      </x:c>
      <x:c r="J5" s="207" t="n">
        <x:f>IFERROR(D5/I5,0)</x:f>
        <x:v>1.2449424214130096</x:v>
      </x:c>
      <x:c r="K5" s="208" t="n">
        <x:f>C5*'06_Product_A'!C19*'05_Assumptions'!C25</x:f>
        <x:v>6510000</x:v>
      </x:c>
      <x:c r="L5" s="208" t="n">
        <x:f>C5*'06_Product_A'!C18*'08_Strategies'!H5</x:f>
        <x:v>3000000</x:v>
      </x:c>
      <x:c r="M5" s="208" t="n">
        <x:f>C5*'06_Product_A'!C20/'05_Assumptions'!C7*'08_Strategies'!I5</x:f>
        <x:v>400000</x:v>
      </x:c>
      <x:c r="N5" s="208" t="n">
        <x:f>D5*('06_Product_A'!C15+'06_Product_A'!C16)/(1-'06_Product_A'!C23)</x:f>
        <x:v>1469387.755102041</x:v>
      </x:c>
      <x:c r="O5" s="208" t="n">
        <x:f>IFERROR(D5/E5,0)*'06_Product_A'!C17</x:f>
        <x:v>1440000</x:v>
      </x:c>
      <x:c r="P5" s="208" t="n">
        <x:f>N5*'08_Strategies'!D5/365*'05_Assumptions'!C8+N5*'06_Product_A'!C23</x:f>
        <x:v>53542.07436399218</x:v>
      </x:c>
      <x:c r="Q5" s="208" t="n">
        <x:f>D5*'06_Product_A'!C21</x:f>
        <x:v>240000</x:v>
      </x:c>
      <x:c r="R5" s="208" t="n">
        <x:f>D5*('06_Product_A'!C15+'06_Product_A'!C16)*'08_Strategies'!J5</x:f>
        <x:v>0</x:v>
      </x:c>
      <x:c r="S5" s="208" t="n">
        <x:f>SUM(K5:R5)</x:f>
        <x:v>13112929.829466032</x:v>
      </x:c>
      <x:c r="T5" s="209" t="n">
        <x:f>IFERROR(S5/D5,0)</x:f>
        <x:v>10.927441524555027</x:v>
      </x:c>
      <x:c r="U5" s="210" t="n">
        <x:f>'06_Product_A'!C12+'06_Product_A'!C13+'06_Product_A'!C10+('06_Product_A'!C11*'08_Strategies'!E5)+'08_Strategies'!F5</x:f>
        <x:v>115</x:v>
      </x:c>
      <x:c r="V5" s="211" t="n">
        <x:f>MAX(0,C5*'05_Assumptions'!C19*'05_Assumptions'!C20*MAX(0,J5-(C5-1)/C5)/MAX(J5,0.0001)+'05_Assumptions'!C21*'05_Assumptions'!C22*MAX(0,J5-(1-'05_Assumptions'!C23*'08_Strategies'!G5))/MAX(J5,0.0001)+'05_Assumptions'!C17*'05_Assumptions'!C18*MAX(0,'05_Assumptions'!C16-I5/D5)/'05_Assumptions'!C16)</x:f>
        <x:v>17.45025</x:v>
      </x:c>
    </x:row>
    <x:row r="6">
      <x:c r="A6" s="186" t="str">
        <x:v>Product A</x:v>
      </x:c>
      <x:c r="B6" s="187" t="str">
        <x:v>Additional safety stock</x:v>
      </x:c>
      <x:c r="C6" s="187" t="n">
        <x:f>'08_Strategies'!B6</x:f>
        <x:v>1</x:v>
      </x:c>
      <x:c r="D6" s="187" t="n">
        <x:f>'06_Product_A'!C5</x:f>
        <x:v>1200000</x:v>
      </x:c>
      <x:c r="E6" s="187" t="n">
        <x:f>'06_Product_A'!C6</x:f>
        <x:v>25000</x:v>
      </x:c>
      <x:c r="F6" s="187" t="n">
        <x:f>'06_Product_A'!C7*'08_Strategies'!C6</x:f>
        <x:v>47.25</x:v>
      </x:c>
      <x:c r="G6" s="212" t="n">
        <x:f>'06_Product_A'!C8</x:f>
        <x:v>0.96</x:v>
      </x:c>
      <x:c r="H6" s="212" t="n">
        <x:f>'06_Product_A'!C9</x:f>
        <x:v>0.85</x:v>
      </x:c>
      <x:c r="I6" s="187" t="n">
        <x:f>C6*E6*F6*G6*H6</x:f>
        <x:v>963900</x:v>
      </x:c>
      <x:c r="J6" s="212" t="n">
        <x:f>IFERROR(D6/I6,0)</x:f>
        <x:v>1.2449424214130096</x:v>
      </x:c>
      <x:c r="K6" s="213" t="n">
        <x:f>C6*'06_Product_A'!C19*'05_Assumptions'!C25</x:f>
        <x:v>6510000</x:v>
      </x:c>
      <x:c r="L6" s="213" t="n">
        <x:f>C6*'06_Product_A'!C18*'08_Strategies'!H6</x:f>
        <x:v>3000000</x:v>
      </x:c>
      <x:c r="M6" s="213" t="n">
        <x:f>C6*'06_Product_A'!C20/'05_Assumptions'!C7*'08_Strategies'!I6</x:f>
        <x:v>400000</x:v>
      </x:c>
      <x:c r="N6" s="213" t="n">
        <x:f>D6*('06_Product_A'!C15+'06_Product_A'!C16)/(1-'06_Product_A'!C23)</x:f>
        <x:v>1469387.755102041</x:v>
      </x:c>
      <x:c r="O6" s="213" t="n">
        <x:f>IFERROR(D6/E6,0)*'06_Product_A'!C17</x:f>
        <x:v>1440000</x:v>
      </x:c>
      <x:c r="P6" s="213" t="n">
        <x:f>N6*'08_Strategies'!D6/365*'05_Assumptions'!C8+N6*'06_Product_A'!C23</x:f>
        <x:v>174313.67067374897</x:v>
      </x:c>
      <x:c r="Q6" s="213" t="n">
        <x:f>D6*'06_Product_A'!C21</x:f>
        <x:v>240000</x:v>
      </x:c>
      <x:c r="R6" s="213" t="n">
        <x:f>D6*('06_Product_A'!C15+'06_Product_A'!C16)*'08_Strategies'!J6</x:f>
        <x:v>0</x:v>
      </x:c>
      <x:c r="S6" s="213" t="n">
        <x:f>SUM(K6:R6)</x:f>
        <x:v>13233701.425775789</x:v>
      </x:c>
      <x:c r="T6" s="214" t="n">
        <x:f>IFERROR(S6/D6,0)</x:f>
        <x:v>11.028084521479824</x:v>
      </x:c>
      <x:c r="U6" s="215" t="n">
        <x:f>'06_Product_A'!C12+'06_Product_A'!C13+'06_Product_A'!C10+('06_Product_A'!C11*'08_Strategies'!E6)+'08_Strategies'!F6</x:f>
        <x:v>115</x:v>
      </x:c>
      <x:c r="V6" s="216" t="n">
        <x:f>MAX(0,C6*'05_Assumptions'!C19*'05_Assumptions'!C20*MAX(0,J6-(C6-1)/C6)/MAX(J6,0.0001)+'05_Assumptions'!C21*'05_Assumptions'!C22*MAX(0,J6-(1-'05_Assumptions'!C23*'08_Strategies'!G6))/MAX(J6,0.0001)+'05_Assumptions'!C17*'05_Assumptions'!C18*MAX(0,'05_Assumptions'!C16-I6/D6)/'05_Assumptions'!C16)</x:f>
        <x:v>17.45025</x:v>
      </x:c>
    </x:row>
    <x:row r="7">
      <x:c r="A7" s="186" t="str">
        <x:v>Product A</x:v>
      </x:c>
      <x:c r="B7" s="187" t="str">
        <x:v>Dual source + contracts</x:v>
      </x:c>
      <x:c r="C7" s="187" t="n">
        <x:f>'08_Strategies'!B7</x:f>
        <x:v>2</x:v>
      </x:c>
      <x:c r="D7" s="187" t="n">
        <x:f>'06_Product_A'!C5</x:f>
        <x:v>1200000</x:v>
      </x:c>
      <x:c r="E7" s="187" t="n">
        <x:f>'06_Product_A'!C6</x:f>
        <x:v>25000</x:v>
      </x:c>
      <x:c r="F7" s="187" t="n">
        <x:f>'06_Product_A'!C7*'08_Strategies'!C7</x:f>
        <x:v>54</x:v>
      </x:c>
      <x:c r="G7" s="212" t="n">
        <x:f>'06_Product_A'!C8</x:f>
        <x:v>0.96</x:v>
      </x:c>
      <x:c r="H7" s="212" t="n">
        <x:f>'06_Product_A'!C9</x:f>
        <x:v>0.85</x:v>
      </x:c>
      <x:c r="I7" s="187" t="n">
        <x:f>C7*E7*F7*G7*H7</x:f>
        <x:v>2203200</x:v>
      </x:c>
      <x:c r="J7" s="212" t="n">
        <x:f>IFERROR(D7/I7,0)</x:f>
        <x:v>0.5446623093681917</x:v>
      </x:c>
      <x:c r="K7" s="213" t="n">
        <x:f>C7*'06_Product_A'!C19*'05_Assumptions'!C25</x:f>
        <x:v>13020000</x:v>
      </x:c>
      <x:c r="L7" s="213" t="n">
        <x:f>C7*'06_Product_A'!C18*'08_Strategies'!H7</x:f>
        <x:v>6899999.999999999</x:v>
      </x:c>
      <x:c r="M7" s="213" t="n">
        <x:f>C7*'06_Product_A'!C20/'05_Assumptions'!C7*'08_Strategies'!I7</x:f>
        <x:v>1200000</x:v>
      </x:c>
      <x:c r="N7" s="213" t="n">
        <x:f>D7*('06_Product_A'!C15+'06_Product_A'!C16)/(1-'06_Product_A'!C23)</x:f>
        <x:v>1469387.755102041</x:v>
      </x:c>
      <x:c r="O7" s="213" t="n">
        <x:f>IFERROR(D7/E7,0)*'06_Product_A'!C17</x:f>
        <x:v>1440000</x:v>
      </x:c>
      <x:c r="P7" s="213" t="n">
        <x:f>N7*'08_Strategies'!D7/365*'05_Assumptions'!C8+N7*'06_Product_A'!C23</x:f>
        <x:v>77696.39362594354</x:v>
      </x:c>
      <x:c r="Q7" s="213" t="n">
        <x:f>D7*'06_Product_A'!C21</x:f>
        <x:v>240000</x:v>
      </x:c>
      <x:c r="R7" s="213" t="n">
        <x:f>D7*('06_Product_A'!C15+'06_Product_A'!C16)*'08_Strategies'!J7</x:f>
        <x:v>0</x:v>
      </x:c>
      <x:c r="S7" s="213" t="n">
        <x:f>SUM(K7:R7)</x:f>
        <x:v>24347084.148727987</x:v>
      </x:c>
      <x:c r="T7" s="214" t="n">
        <x:f>IFERROR(S7/D7,0)</x:f>
        <x:v>20.289236790606655</x:v>
      </x:c>
      <x:c r="U7" s="215" t="n">
        <x:f>'06_Product_A'!C12+'06_Product_A'!C13+'06_Product_A'!C10+('06_Product_A'!C11*'08_Strategies'!E7)+'08_Strategies'!F7</x:f>
        <x:v>114</x:v>
      </x:c>
      <x:c r="V7" s="216" t="n">
        <x:f>MAX(0,C7*'05_Assumptions'!C19*'05_Assumptions'!C20*MAX(0,J7-(C7-1)/C7)/MAX(J7,0.0001)+'05_Assumptions'!C21*'05_Assumptions'!C22*MAX(0,J7-(1-'05_Assumptions'!C23*'08_Strategies'!G7))/MAX(J7,0.0001)+'05_Assumptions'!C17*'05_Assumptions'!C18*MAX(0,'05_Assumptions'!C16-I7/D7)/'05_Assumptions'!C16)</x:f>
        <x:v>1.4759999999999998</x:v>
      </x:c>
    </x:row>
    <x:row r="8">
      <x:c r="A8" s="186" t="str">
        <x:v>Product A</x:v>
      </x:c>
      <x:c r="B8" s="187" t="str">
        <x:v>Reserved contract capacity</x:v>
      </x:c>
      <x:c r="C8" s="187" t="n">
        <x:f>'08_Strategies'!B8</x:f>
        <x:v>2</x:v>
      </x:c>
      <x:c r="D8" s="187" t="n">
        <x:f>'06_Product_A'!C5</x:f>
        <x:v>1200000</x:v>
      </x:c>
      <x:c r="E8" s="187" t="n">
        <x:f>'06_Product_A'!C6</x:f>
        <x:v>25000</x:v>
      </x:c>
      <x:c r="F8" s="187" t="n">
        <x:f>'06_Product_A'!C7*'08_Strategies'!C8</x:f>
        <x:v>58.5</x:v>
      </x:c>
      <x:c r="G8" s="212" t="n">
        <x:f>'06_Product_A'!C8</x:f>
        <x:v>0.96</x:v>
      </x:c>
      <x:c r="H8" s="212" t="n">
        <x:f>'06_Product_A'!C9</x:f>
        <x:v>0.85</x:v>
      </x:c>
      <x:c r="I8" s="187" t="n">
        <x:f>C8*E8*F8*G8*H8</x:f>
        <x:v>2386800</x:v>
      </x:c>
      <x:c r="J8" s="212" t="n">
        <x:f>IFERROR(D8/I8,0)</x:f>
        <x:v>0.5027652086475616</x:v>
      </x:c>
      <x:c r="K8" s="213" t="n">
        <x:f>C8*'06_Product_A'!C19*'05_Assumptions'!C25</x:f>
        <x:v>13020000</x:v>
      </x:c>
      <x:c r="L8" s="213" t="n">
        <x:f>C8*'06_Product_A'!C18*'08_Strategies'!H8</x:f>
        <x:v>7200000</x:v>
      </x:c>
      <x:c r="M8" s="213" t="n">
        <x:f>C8*'06_Product_A'!C20/'05_Assumptions'!C7*'08_Strategies'!I8</x:f>
        <x:v>1200000</x:v>
      </x:c>
      <x:c r="N8" s="213" t="n">
        <x:f>D8*('06_Product_A'!C15+'06_Product_A'!C16)/(1-'06_Product_A'!C23)</x:f>
        <x:v>1469387.755102041</x:v>
      </x:c>
      <x:c r="O8" s="213" t="n">
        <x:f>IFERROR(D8/E8,0)*'06_Product_A'!C17</x:f>
        <x:v>1440000</x:v>
      </x:c>
      <x:c r="P8" s="213" t="n">
        <x:f>N8*'08_Strategies'!D8/365*'05_Assumptions'!C8+N8*'06_Product_A'!C23</x:f>
        <x:v>77696.39362594354</x:v>
      </x:c>
      <x:c r="Q8" s="213" t="n">
        <x:f>D8*'06_Product_A'!C21</x:f>
        <x:v>240000</x:v>
      </x:c>
      <x:c r="R8" s="213" t="n">
        <x:f>D8*('06_Product_A'!C15+'06_Product_A'!C16)*'08_Strategies'!J8</x:f>
        <x:v>360000</x:v>
      </x:c>
      <x:c r="S8" s="213" t="n">
        <x:f>SUM(K8:R8)</x:f>
        <x:v>25007084.148727987</x:v>
      </x:c>
      <x:c r="T8" s="214" t="n">
        <x:f>IFERROR(S8/D8,0)</x:f>
        <x:v>20.839236790606655</x:v>
      </x:c>
      <x:c r="U8" s="215" t="n">
        <x:f>'06_Product_A'!C12+'06_Product_A'!C13+'06_Product_A'!C10+('06_Product_A'!C11*'08_Strategies'!E8)+'08_Strategies'!F8</x:f>
        <x:v>114</x:v>
      </x:c>
      <x:c r="V8" s="216" t="n">
        <x:f>MAX(0,C8*'05_Assumptions'!C19*'05_Assumptions'!C20*MAX(0,J8-(C8-1)/C8)/MAX(J8,0.0001)+'05_Assumptions'!C21*'05_Assumptions'!C22*MAX(0,J8-(1-'05_Assumptions'!C23*'08_Strategies'!G8))/MAX(J8,0.0001)+'05_Assumptions'!C17*'05_Assumptions'!C18*MAX(0,'05_Assumptions'!C16-I8/D8)/'05_Assumptions'!C16)</x:f>
        <x:v>0.09899999999999964</x:v>
      </x:c>
    </x:row>
    <x:row r="9">
      <x:c r="A9" s="186" t="str">
        <x:v>Product A</x:v>
      </x:c>
      <x:c r="B9" s="187" t="str">
        <x:v>Additional centralized capacity</x:v>
      </x:c>
      <x:c r="C9" s="187" t="n">
        <x:f>'08_Strategies'!B9</x:f>
        <x:v>2</x:v>
      </x:c>
      <x:c r="D9" s="187" t="n">
        <x:f>'06_Product_A'!C5</x:f>
        <x:v>1200000</x:v>
      </x:c>
      <x:c r="E9" s="187" t="n">
        <x:f>'06_Product_A'!C6</x:f>
        <x:v>25000</x:v>
      </x:c>
      <x:c r="F9" s="187" t="n">
        <x:f>'06_Product_A'!C7*'08_Strategies'!C9</x:f>
        <x:v>65.25</x:v>
      </x:c>
      <x:c r="G9" s="212" t="n">
        <x:f>'06_Product_A'!C8</x:f>
        <x:v>0.96</x:v>
      </x:c>
      <x:c r="H9" s="212" t="n">
        <x:f>'06_Product_A'!C9</x:f>
        <x:v>0.85</x:v>
      </x:c>
      <x:c r="I9" s="187" t="n">
        <x:f>C9*E9*F9*G9*H9</x:f>
        <x:v>2662200</x:v>
      </x:c>
      <x:c r="J9" s="212" t="n">
        <x:f>IFERROR(D9/I9,0)</x:f>
        <x:v>0.450755014649538</x:v>
      </x:c>
      <x:c r="K9" s="213" t="n">
        <x:f>C9*'06_Product_A'!C19*'05_Assumptions'!C25</x:f>
        <x:v>13020000</x:v>
      </x:c>
      <x:c r="L9" s="213" t="n">
        <x:f>C9*'06_Product_A'!C18*'08_Strategies'!H9</x:f>
        <x:v>6600000.000000001</x:v>
      </x:c>
      <x:c r="M9" s="213" t="n">
        <x:f>C9*'06_Product_A'!C20/'05_Assumptions'!C7*'08_Strategies'!I9</x:f>
        <x:v>1200000</x:v>
      </x:c>
      <x:c r="N9" s="213" t="n">
        <x:f>D9*('06_Product_A'!C15+'06_Product_A'!C16)/(1-'06_Product_A'!C23)</x:f>
        <x:v>1469387.755102041</x:v>
      </x:c>
      <x:c r="O9" s="213" t="n">
        <x:f>IFERROR(D9/E9,0)*'06_Product_A'!C17</x:f>
        <x:v>1440000</x:v>
      </x:c>
      <x:c r="P9" s="213" t="n">
        <x:f>N9*'08_Strategies'!D9/365*'05_Assumptions'!C8+N9*'06_Product_A'!C23</x:f>
        <x:v>77696.39362594354</x:v>
      </x:c>
      <x:c r="Q9" s="213" t="n">
        <x:f>D9*'06_Product_A'!C21</x:f>
        <x:v>240000</x:v>
      </x:c>
      <x:c r="R9" s="213" t="n">
        <x:f>D9*('06_Product_A'!C15+'06_Product_A'!C16)*'08_Strategies'!J9</x:f>
        <x:v>0</x:v>
      </x:c>
      <x:c r="S9" s="213" t="n">
        <x:f>SUM(K9:R9)</x:f>
        <x:v>24047084.148727987</x:v>
      </x:c>
      <x:c r="T9" s="214" t="n">
        <x:f>IFERROR(S9/D9,0)</x:f>
        <x:v>20.039236790606655</x:v>
      </x:c>
      <x:c r="U9" s="215" t="n">
        <x:f>'06_Product_A'!C12+'06_Product_A'!C13+'06_Product_A'!C10+('06_Product_A'!C11*'08_Strategies'!E9)+'08_Strategies'!F9</x:f>
        <x:v>115</x:v>
      </x:c>
      <x:c r="V9" s="216" t="n">
        <x:f>MAX(0,C9*'05_Assumptions'!C19*'05_Assumptions'!C20*MAX(0,J9-(C9-1)/C9)/MAX(J9,0.0001)+'05_Assumptions'!C21*'05_Assumptions'!C22*MAX(0,J9-(1-'05_Assumptions'!C23*'08_Strategies'!G9))/MAX(J9,0.0001)+'05_Assumptions'!C17*'05_Assumptions'!C18*MAX(0,'05_Assumptions'!C16-I9/D9)/'05_Assumptions'!C16)</x:f>
        <x:v>0</x:v>
      </x:c>
    </x:row>
    <x:row r="10">
      <x:c r="A10" s="186" t="str">
        <x:v>Product A</x:v>
      </x:c>
      <x:c r="B10" s="187" t="str">
        <x:v>Distributed regional nodes</x:v>
      </x:c>
      <x:c r="C10" s="187" t="n">
        <x:f>'08_Strategies'!B10</x:f>
        <x:v>4</x:v>
      </x:c>
      <x:c r="D10" s="187" t="n">
        <x:f>'06_Product_A'!C5</x:f>
        <x:v>1200000</x:v>
      </x:c>
      <x:c r="E10" s="187" t="n">
        <x:f>'06_Product_A'!C6</x:f>
        <x:v>25000</x:v>
      </x:c>
      <x:c r="F10" s="187" t="n">
        <x:f>'06_Product_A'!C7*'08_Strategies'!C10</x:f>
        <x:v>60.75000000000001</x:v>
      </x:c>
      <x:c r="G10" s="212" t="n">
        <x:f>'06_Product_A'!C8</x:f>
        <x:v>0.96</x:v>
      </x:c>
      <x:c r="H10" s="212" t="n">
        <x:f>'06_Product_A'!C9</x:f>
        <x:v>0.85</x:v>
      </x:c>
      <x:c r="I10" s="187" t="n">
        <x:f>C10*E10*F10*G10*H10</x:f>
        <x:v>4957200.000000001</x:v>
      </x:c>
      <x:c r="J10" s="212" t="n">
        <x:f>IFERROR(D10/I10,0)</x:f>
        <x:v>0.24207213749697407</x:v>
      </x:c>
      <x:c r="K10" s="213" t="n">
        <x:f>C10*'06_Product_A'!C19*'05_Assumptions'!C25</x:f>
        <x:v>26040000</x:v>
      </x:c>
      <x:c r="L10" s="213" t="n">
        <x:f>C10*'06_Product_A'!C18*'08_Strategies'!H10</x:f>
        <x:v>16800000</x:v>
      </x:c>
      <x:c r="M10" s="213" t="n">
        <x:f>C10*'06_Product_A'!C20/'05_Assumptions'!C7*'08_Strategies'!I10</x:f>
        <x:v>4000000</x:v>
      </x:c>
      <x:c r="N10" s="213" t="n">
        <x:f>D10*('06_Product_A'!C15+'06_Product_A'!C16)/(1-'06_Product_A'!C23)</x:f>
        <x:v>1469387.755102041</x:v>
      </x:c>
      <x:c r="O10" s="213" t="n">
        <x:f>IFERROR(D10/E10,0)*'06_Product_A'!C17</x:f>
        <x:v>1440000</x:v>
      </x:c>
      <x:c r="P10" s="213" t="n">
        <x:f>N10*'08_Strategies'!D10/365*'05_Assumptions'!C8+N10*'06_Product_A'!C23</x:f>
        <x:v>65619.23399496786</x:v>
      </x:c>
      <x:c r="Q10" s="213" t="n">
        <x:f>D10*'06_Product_A'!C21</x:f>
        <x:v>240000</x:v>
      </x:c>
      <x:c r="R10" s="213" t="n">
        <x:f>D10*('06_Product_A'!C15+'06_Product_A'!C16)*'08_Strategies'!J10</x:f>
        <x:v>0</x:v>
      </x:c>
      <x:c r="S10" s="213" t="n">
        <x:f>SUM(K10:R10)</x:f>
        <x:v>50055006.98909701</x:v>
      </x:c>
      <x:c r="T10" s="214" t="n">
        <x:f>IFERROR(S10/D10,0)</x:f>
        <x:v>41.71250582424751</x:v>
      </x:c>
      <x:c r="U10" s="215" t="n">
        <x:f>'06_Product_A'!C12+'06_Product_A'!C13+'06_Product_A'!C10+('06_Product_A'!C11*'08_Strategies'!E10)+'08_Strategies'!F10</x:f>
        <x:v>112</x:v>
      </x:c>
      <x:c r="V10" s="216" t="n">
        <x:f>MAX(0,C10*'05_Assumptions'!C19*'05_Assumptions'!C20*MAX(0,J10-(C10-1)/C10)/MAX(J10,0.0001)+'05_Assumptions'!C21*'05_Assumptions'!C22*MAX(0,J10-(1-'05_Assumptions'!C23*'08_Strategies'!G10))/MAX(J10,0.0001)+'05_Assumptions'!C17*'05_Assumptions'!C18*MAX(0,'05_Assumptions'!C16-I10/D10)/'05_Assumptions'!C16)</x:f>
        <x:v>0</x:v>
      </x:c>
    </x:row>
    <x:row r="11">
      <x:c r="A11" s="186" t="str">
        <x:v>Product A</x:v>
      </x:c>
      <x:c r="B11" s="187" t="str">
        <x:v>Distributed + validated release assurance</x:v>
      </x:c>
      <x:c r="C11" s="187" t="n">
        <x:f>'08_Strategies'!B11</x:f>
        <x:v>4</x:v>
      </x:c>
      <x:c r="D11" s="187" t="n">
        <x:f>'06_Product_A'!C5</x:f>
        <x:v>1200000</x:v>
      </x:c>
      <x:c r="E11" s="187" t="n">
        <x:f>'06_Product_A'!C6</x:f>
        <x:v>25000</x:v>
      </x:c>
      <x:c r="F11" s="187" t="n">
        <x:f>'06_Product_A'!C7*'08_Strategies'!C11</x:f>
        <x:v>60.75000000000001</x:v>
      </x:c>
      <x:c r="G11" s="212" t="n">
        <x:f>'06_Product_A'!C8</x:f>
        <x:v>0.96</x:v>
      </x:c>
      <x:c r="H11" s="212" t="n">
        <x:f>'06_Product_A'!C9</x:f>
        <x:v>0.85</x:v>
      </x:c>
      <x:c r="I11" s="187" t="n">
        <x:f>C11*E11*F11*G11*H11</x:f>
        <x:v>4957200.000000001</x:v>
      </x:c>
      <x:c r="J11" s="212" t="n">
        <x:f>IFERROR(D11/I11,0)</x:f>
        <x:v>0.24207213749697407</x:v>
      </x:c>
      <x:c r="K11" s="213" t="n">
        <x:f>C11*'06_Product_A'!C19*'05_Assumptions'!C25</x:f>
        <x:v>26040000</x:v>
      </x:c>
      <x:c r="L11" s="213" t="n">
        <x:f>C11*'06_Product_A'!C18*'08_Strategies'!H11</x:f>
        <x:v>18000000</x:v>
      </x:c>
      <x:c r="M11" s="213" t="n">
        <x:f>C11*'06_Product_A'!C20/'05_Assumptions'!C7*'08_Strategies'!I11</x:f>
        <x:v>4800000</x:v>
      </x:c>
      <x:c r="N11" s="213" t="n">
        <x:f>D11*('06_Product_A'!C15+'06_Product_A'!C16)/(1-'06_Product_A'!C23)</x:f>
        <x:v>1469387.755102041</x:v>
      </x:c>
      <x:c r="O11" s="213" t="n">
        <x:f>IFERROR(D11/E11,0)*'06_Product_A'!C17</x:f>
        <x:v>1440000</x:v>
      </x:c>
      <x:c r="P11" s="213" t="n">
        <x:f>N11*'08_Strategies'!D11/365*'05_Assumptions'!C8+N11*'06_Product_A'!C23</x:f>
        <x:v>65619.23399496786</x:v>
      </x:c>
      <x:c r="Q11" s="213" t="n">
        <x:f>D11*'06_Product_A'!C21</x:f>
        <x:v>240000</x:v>
      </x:c>
      <x:c r="R11" s="213" t="n">
        <x:f>D11*('06_Product_A'!C15+'06_Product_A'!C16)*'08_Strategies'!J11</x:f>
        <x:v>0</x:v>
      </x:c>
      <x:c r="S11" s="213" t="n">
        <x:f>SUM(K11:R11)</x:f>
        <x:v>52055006.98909701</x:v>
      </x:c>
      <x:c r="T11" s="214" t="n">
        <x:f>IFERROR(S11/D11,0)</x:f>
        <x:v>43.37917249091417</x:v>
      </x:c>
      <x:c r="U11" s="215" t="n">
        <x:f>'06_Product_A'!C12+'06_Product_A'!C13+'06_Product_A'!C10+('06_Product_A'!C11*'08_Strategies'!E11)+'08_Strategies'!F11</x:f>
        <x:v>106.4</x:v>
      </x:c>
      <x:c r="V11" s="216" t="n">
        <x:f>MAX(0,C11*'05_Assumptions'!C19*'05_Assumptions'!C20*MAX(0,J11-(C11-1)/C11)/MAX(J11,0.0001)+'05_Assumptions'!C21*'05_Assumptions'!C22*MAX(0,J11-(1-'05_Assumptions'!C23*'08_Strategies'!G11))/MAX(J11,0.0001)+'05_Assumptions'!C17*'05_Assumptions'!C18*MAX(0,'05_Assumptions'!C16-I11/D11)/'05_Assumptions'!C16)</x:f>
        <x:v>0</x:v>
      </x:c>
    </x:row>
    <x:row r="12">
      <x:c r="A12" s="186" t="str">
        <x:v>Product A</x:v>
      </x:c>
      <x:c r="B12" s="187" t="str">
        <x:v>503B shortage response</x:v>
      </x:c>
      <x:c r="C12" s="187" t="n">
        <x:f>'08_Strategies'!B12</x:f>
        <x:v>2</x:v>
      </x:c>
      <x:c r="D12" s="187" t="n">
        <x:f>'06_Product_A'!C5</x:f>
        <x:v>1200000</x:v>
      </x:c>
      <x:c r="E12" s="187" t="n">
        <x:f>'06_Product_A'!C6</x:f>
        <x:v>25000</x:v>
      </x:c>
      <x:c r="F12" s="187" t="n">
        <x:f>'06_Product_A'!C7*'08_Strategies'!C12</x:f>
        <x:v>51.74999999999999</x:v>
      </x:c>
      <x:c r="G12" s="212" t="n">
        <x:f>'06_Product_A'!C8</x:f>
        <x:v>0.96</x:v>
      </x:c>
      <x:c r="H12" s="212" t="n">
        <x:f>'06_Product_A'!C9</x:f>
        <x:v>0.85</x:v>
      </x:c>
      <x:c r="I12" s="187" t="n">
        <x:f>C12*E12*F12*G12*H12</x:f>
        <x:v>2111399.9999999995</x:v>
      </x:c>
      <x:c r="J12" s="212" t="n">
        <x:f>IFERROR(D12/I12,0)</x:f>
        <x:v>0.5683432793407219</x:v>
      </x:c>
      <x:c r="K12" s="213" t="n">
        <x:f>C12*'06_Product_A'!C19*'05_Assumptions'!C25</x:f>
        <x:v>13020000</x:v>
      </x:c>
      <x:c r="L12" s="213" t="n">
        <x:f>C12*'06_Product_A'!C18*'08_Strategies'!H12</x:f>
        <x:v>7500000</x:v>
      </x:c>
      <x:c r="M12" s="213" t="n">
        <x:f>C12*'06_Product_A'!C20/'05_Assumptions'!C7*'08_Strategies'!I12</x:f>
        <x:v>800000</x:v>
      </x:c>
      <x:c r="N12" s="213" t="n">
        <x:f>D12*('06_Product_A'!C15+'06_Product_A'!C16)/(1-'06_Product_A'!C23)</x:f>
        <x:v>1469387.755102041</x:v>
      </x:c>
      <x:c r="O12" s="213" t="n">
        <x:f>IFERROR(D12/E12,0)*'06_Product_A'!C17</x:f>
        <x:v>1440000</x:v>
      </x:c>
      <x:c r="P12" s="213" t="n">
        <x:f>N12*'08_Strategies'!D12/365*'05_Assumptions'!C8+N12*'06_Product_A'!C23</x:f>
        <x:v>53542.07436399218</x:v>
      </x:c>
      <x:c r="Q12" s="213" t="n">
        <x:f>D12*'06_Product_A'!C21</x:f>
        <x:v>240000</x:v>
      </x:c>
      <x:c r="R12" s="213" t="n">
        <x:f>D12*('06_Product_A'!C15+'06_Product_A'!C16)*'08_Strategies'!J12</x:f>
        <x:v>216000</x:v>
      </x:c>
      <x:c r="S12" s="213" t="n">
        <x:f>SUM(K12:R12)</x:f>
        <x:v>24738929.829466034</x:v>
      </x:c>
      <x:c r="T12" s="214" t="n">
        <x:f>IFERROR(S12/D12,0)</x:f>
        <x:v>20.61577485788836</x:v>
      </x:c>
      <x:c r="U12" s="215" t="n">
        <x:f>'06_Product_A'!C12+'06_Product_A'!C13+'06_Product_A'!C10+('06_Product_A'!C11*'08_Strategies'!E12)+'08_Strategies'!F12</x:f>
        <x:v>113</x:v>
      </x:c>
      <x:c r="V12" s="216" t="n">
        <x:f>MAX(0,C12*'05_Assumptions'!C19*'05_Assumptions'!C20*MAX(0,J12-(C12-1)/C12)/MAX(J12,0.0001)+'05_Assumptions'!C21*'05_Assumptions'!C22*MAX(0,J12-(1-'05_Assumptions'!C23*'08_Strategies'!G12))/MAX(J12,0.0001)+'05_Assumptions'!C17*'05_Assumptions'!C18*MAX(0,'05_Assumptions'!C16-I12/D12)/'05_Assumptions'!C16)</x:f>
        <x:v>2.164500000000004</x:v>
      </x:c>
    </x:row>
    <x:row r="13">
      <x:c r="A13" s="186" t="str">
        <x:v>Product B</x:v>
      </x:c>
      <x:c r="B13" s="187" t="str">
        <x:v>Status quo centralized</x:v>
      </x:c>
      <x:c r="C13" s="187" t="n">
        <x:f>'08_Strategies'!B5</x:f>
        <x:v>1</x:v>
      </x:c>
      <x:c r="D13" s="187" t="n">
        <x:f>'07_Product_B'!C5</x:f>
        <x:v>900000</x:v>
      </x:c>
      <x:c r="E13" s="187" t="n">
        <x:f>'07_Product_B'!C6</x:f>
        <x:v>30000</x:v>
      </x:c>
      <x:c r="F13" s="187" t="n">
        <x:f>'07_Product_B'!C7*'08_Strategies'!C5</x:f>
        <x:v>47.25</x:v>
      </x:c>
      <x:c r="G13" s="212" t="n">
        <x:f>'07_Product_B'!C8</x:f>
        <x:v>0.96</x:v>
      </x:c>
      <x:c r="H13" s="212" t="n">
        <x:f>'07_Product_B'!C9</x:f>
        <x:v>0.85</x:v>
      </x:c>
      <x:c r="I13" s="187" t="n">
        <x:f>C13*E13*F13*G13*H13</x:f>
        <x:v>1156680</x:v>
      </x:c>
      <x:c r="J13" s="212" t="n">
        <x:f>IFERROR(D13/I13,0)</x:f>
        <x:v>0.7780890133831311</x:v>
      </x:c>
      <x:c r="K13" s="213" t="n">
        <x:f>C13*'07_Product_B'!C19*'05_Assumptions'!C25</x:f>
        <x:v>6510000</x:v>
      </x:c>
      <x:c r="L13" s="213" t="n">
        <x:f>C13*'07_Product_B'!C18*'08_Strategies'!H5</x:f>
        <x:v>3000000</x:v>
      </x:c>
      <x:c r="M13" s="213" t="n">
        <x:f>C13*'07_Product_B'!C20/'05_Assumptions'!C7*'08_Strategies'!I5</x:f>
        <x:v>400000</x:v>
      </x:c>
      <x:c r="N13" s="213" t="n">
        <x:f>D13*('07_Product_B'!C15+'07_Product_B'!C16)/(1-'07_Product_B'!C23)</x:f>
        <x:v>1056122.4489795917</x:v>
      </x:c>
      <x:c r="O13" s="213" t="n">
        <x:f>IFERROR(D13/E13,0)*'07_Product_B'!C17</x:f>
        <x:v>900000</x:v>
      </x:c>
      <x:c r="P13" s="213" t="n">
        <x:f>N13*'08_Strategies'!D5/365*'05_Assumptions'!C8+N13*'07_Product_B'!C23</x:f>
        <x:v>38483.36594911937</x:v>
      </x:c>
      <x:c r="Q13" s="213" t="n">
        <x:f>D13*'07_Product_B'!C21</x:f>
        <x:v>180000</x:v>
      </x:c>
      <x:c r="R13" s="213" t="n">
        <x:f>D13*('07_Product_B'!C15+'07_Product_B'!C16)*'08_Strategies'!J5</x:f>
        <x:v>0</x:v>
      </x:c>
      <x:c r="S13" s="213" t="n">
        <x:f>SUM(K13:R13)</x:f>
        <x:v>12084605.81492871</x:v>
      </x:c>
      <x:c r="T13" s="214" t="n">
        <x:f>IFERROR(S13/D13,0)</x:f>
        <x:v>13.427339794365233</x:v>
      </x:c>
      <x:c r="U13" s="215" t="n">
        <x:f>'07_Product_B'!C12+'07_Product_B'!C13+'07_Product_B'!C10+('07_Product_B'!C11*'08_Strategies'!E5)+'08_Strategies'!F5</x:f>
        <x:v>113</x:v>
      </x:c>
      <x:c r="V13" s="216" t="n">
        <x:f>MAX(0,C13*'05_Assumptions'!C19*'05_Assumptions'!C20*MAX(0,J13-(C13-1)/C13)/MAX(J13,0.0001)+'05_Assumptions'!C21*'05_Assumptions'!C22*MAX(0,J13-(1-'05_Assumptions'!C23*'08_Strategies'!G5))/MAX(J13,0.0001)+'05_Assumptions'!C17*'05_Assumptions'!C18*MAX(0,'05_Assumptions'!C16-I13/D13)/'05_Assumptions'!C16)</x:f>
        <x:v>11.720400000000003</x:v>
      </x:c>
    </x:row>
    <x:row r="14">
      <x:c r="A14" s="186" t="str">
        <x:v>Product B</x:v>
      </x:c>
      <x:c r="B14" s="187" t="str">
        <x:v>Additional safety stock</x:v>
      </x:c>
      <x:c r="C14" s="187" t="n">
        <x:f>'08_Strategies'!B6</x:f>
        <x:v>1</x:v>
      </x:c>
      <x:c r="D14" s="187" t="n">
        <x:f>'07_Product_B'!C5</x:f>
        <x:v>900000</x:v>
      </x:c>
      <x:c r="E14" s="187" t="n">
        <x:f>'07_Product_B'!C6</x:f>
        <x:v>30000</x:v>
      </x:c>
      <x:c r="F14" s="187" t="n">
        <x:f>'07_Product_B'!C7*'08_Strategies'!C6</x:f>
        <x:v>47.25</x:v>
      </x:c>
      <x:c r="G14" s="212" t="n">
        <x:f>'07_Product_B'!C8</x:f>
        <x:v>0.96</x:v>
      </x:c>
      <x:c r="H14" s="212" t="n">
        <x:f>'07_Product_B'!C9</x:f>
        <x:v>0.85</x:v>
      </x:c>
      <x:c r="I14" s="187" t="n">
        <x:f>C14*E14*F14*G14*H14</x:f>
        <x:v>1156680</x:v>
      </x:c>
      <x:c r="J14" s="212" t="n">
        <x:f>IFERROR(D14/I14,0)</x:f>
        <x:v>0.7780890133831311</x:v>
      </x:c>
      <x:c r="K14" s="213" t="n">
        <x:f>C14*'07_Product_B'!C19*'05_Assumptions'!C25</x:f>
        <x:v>6510000</x:v>
      </x:c>
      <x:c r="L14" s="213" t="n">
        <x:f>C14*'07_Product_B'!C18*'08_Strategies'!H6</x:f>
        <x:v>3000000</x:v>
      </x:c>
      <x:c r="M14" s="213" t="n">
        <x:f>C14*'07_Product_B'!C20/'05_Assumptions'!C7*'08_Strategies'!I6</x:f>
        <x:v>400000</x:v>
      </x:c>
      <x:c r="N14" s="213" t="n">
        <x:f>D14*('07_Product_B'!C15+'07_Product_B'!C16)/(1-'07_Product_B'!C23)</x:f>
        <x:v>1056122.4489795917</x:v>
      </x:c>
      <x:c r="O14" s="213" t="n">
        <x:f>IFERROR(D14/E14,0)*'07_Product_B'!C17</x:f>
        <x:v>900000</x:v>
      </x:c>
      <x:c r="P14" s="213" t="n">
        <x:f>N14*'08_Strategies'!D6/365*'05_Assumptions'!C8+N14*'07_Product_B'!C23</x:f>
        <x:v>125287.95079675705</x:v>
      </x:c>
      <x:c r="Q14" s="213" t="n">
        <x:f>D14*'07_Product_B'!C21</x:f>
        <x:v>180000</x:v>
      </x:c>
      <x:c r="R14" s="213" t="n">
        <x:f>D14*('07_Product_B'!C15+'07_Product_B'!C16)*'08_Strategies'!J6</x:f>
        <x:v>0</x:v>
      </x:c>
      <x:c r="S14" s="213" t="n">
        <x:f>SUM(K14:R14)</x:f>
        <x:v>12171410.399776349</x:v>
      </x:c>
      <x:c r="T14" s="214" t="n">
        <x:f>IFERROR(S14/D14,0)</x:f>
        <x:v>13.523789333084832</x:v>
      </x:c>
      <x:c r="U14" s="215" t="n">
        <x:f>'07_Product_B'!C12+'07_Product_B'!C13+'07_Product_B'!C10+('07_Product_B'!C11*'08_Strategies'!E6)+'08_Strategies'!F6</x:f>
        <x:v>113</x:v>
      </x:c>
      <x:c r="V14" s="216" t="n">
        <x:f>MAX(0,C14*'05_Assumptions'!C19*'05_Assumptions'!C20*MAX(0,J14-(C14-1)/C14)/MAX(J14,0.0001)+'05_Assumptions'!C21*'05_Assumptions'!C22*MAX(0,J14-(1-'05_Assumptions'!C23*'08_Strategies'!G6))/MAX(J14,0.0001)+'05_Assumptions'!C17*'05_Assumptions'!C18*MAX(0,'05_Assumptions'!C16-I14/D14)/'05_Assumptions'!C16)</x:f>
        <x:v>11.720400000000003</x:v>
      </x:c>
    </x:row>
    <x:row r="15">
      <x:c r="A15" s="186" t="str">
        <x:v>Product B</x:v>
      </x:c>
      <x:c r="B15" s="187" t="str">
        <x:v>Dual source + contracts</x:v>
      </x:c>
      <x:c r="C15" s="187" t="n">
        <x:f>'08_Strategies'!B7</x:f>
        <x:v>2</x:v>
      </x:c>
      <x:c r="D15" s="187" t="n">
        <x:f>'07_Product_B'!C5</x:f>
        <x:v>900000</x:v>
      </x:c>
      <x:c r="E15" s="187" t="n">
        <x:f>'07_Product_B'!C6</x:f>
        <x:v>30000</x:v>
      </x:c>
      <x:c r="F15" s="187" t="n">
        <x:f>'07_Product_B'!C7*'08_Strategies'!C7</x:f>
        <x:v>54</x:v>
      </x:c>
      <x:c r="G15" s="212" t="n">
        <x:f>'07_Product_B'!C8</x:f>
        <x:v>0.96</x:v>
      </x:c>
      <x:c r="H15" s="212" t="n">
        <x:f>'07_Product_B'!C9</x:f>
        <x:v>0.85</x:v>
      </x:c>
      <x:c r="I15" s="187" t="n">
        <x:f>C15*E15*F15*G15*H15</x:f>
        <x:v>2643840</x:v>
      </x:c>
      <x:c r="J15" s="212" t="n">
        <x:f>IFERROR(D15/I15,0)</x:f>
        <x:v>0.3404139433551198</x:v>
      </x:c>
      <x:c r="K15" s="213" t="n">
        <x:f>C15*'07_Product_B'!C19*'05_Assumptions'!C25</x:f>
        <x:v>13020000</x:v>
      </x:c>
      <x:c r="L15" s="213" t="n">
        <x:f>C15*'07_Product_B'!C18*'08_Strategies'!H7</x:f>
        <x:v>6899999.999999999</x:v>
      </x:c>
      <x:c r="M15" s="213" t="n">
        <x:f>C15*'07_Product_B'!C20/'05_Assumptions'!C7*'08_Strategies'!I7</x:f>
        <x:v>1200000</x:v>
      </x:c>
      <x:c r="N15" s="213" t="n">
        <x:f>D15*('07_Product_B'!C15+'07_Product_B'!C16)/(1-'07_Product_B'!C23)</x:f>
        <x:v>1056122.4489795917</x:v>
      </x:c>
      <x:c r="O15" s="213" t="n">
        <x:f>IFERROR(D15/E15,0)*'07_Product_B'!C17</x:f>
        <x:v>900000</x:v>
      </x:c>
      <x:c r="P15" s="213" t="n">
        <x:f>N15*'08_Strategies'!D7/365*'05_Assumptions'!C8+N15*'07_Product_B'!C23</x:f>
        <x:v>55844.2829186469</x:v>
      </x:c>
      <x:c r="Q15" s="213" t="n">
        <x:f>D15*'07_Product_B'!C21</x:f>
        <x:v>180000</x:v>
      </x:c>
      <x:c r="R15" s="213" t="n">
        <x:f>D15*('07_Product_B'!C15+'07_Product_B'!C16)*'08_Strategies'!J7</x:f>
        <x:v>0</x:v>
      </x:c>
      <x:c r="S15" s="213" t="n">
        <x:f>SUM(K15:R15)</x:f>
        <x:v>23311966.731898237</x:v>
      </x:c>
      <x:c r="T15" s="214" t="n">
        <x:f>IFERROR(S15/D15,0)</x:f>
        <x:v>25.90218525766471</x:v>
      </x:c>
      <x:c r="U15" s="215" t="n">
        <x:f>'07_Product_B'!C12+'07_Product_B'!C13+'07_Product_B'!C10+('07_Product_B'!C11*'08_Strategies'!E7)+'08_Strategies'!F7</x:f>
        <x:v>112</x:v>
      </x:c>
      <x:c r="V15" s="216" t="n">
        <x:f>MAX(0,C15*'05_Assumptions'!C19*'05_Assumptions'!C20*MAX(0,J15-(C15-1)/C15)/MAX(J15,0.0001)+'05_Assumptions'!C21*'05_Assumptions'!C22*MAX(0,J15-(1-'05_Assumptions'!C23*'08_Strategies'!G7))/MAX(J15,0.0001)+'05_Assumptions'!C17*'05_Assumptions'!C18*MAX(0,'05_Assumptions'!C16-I15/D15)/'05_Assumptions'!C16)</x:f>
        <x:v>0</x:v>
      </x:c>
    </x:row>
    <x:row r="16">
      <x:c r="A16" s="186" t="str">
        <x:v>Product B</x:v>
      </x:c>
      <x:c r="B16" s="187" t="str">
        <x:v>Reserved contract capacity</x:v>
      </x:c>
      <x:c r="C16" s="187" t="n">
        <x:f>'08_Strategies'!B8</x:f>
        <x:v>2</x:v>
      </x:c>
      <x:c r="D16" s="187" t="n">
        <x:f>'07_Product_B'!C5</x:f>
        <x:v>900000</x:v>
      </x:c>
      <x:c r="E16" s="187" t="n">
        <x:f>'07_Product_B'!C6</x:f>
        <x:v>30000</x:v>
      </x:c>
      <x:c r="F16" s="187" t="n">
        <x:f>'07_Product_B'!C7*'08_Strategies'!C8</x:f>
        <x:v>58.5</x:v>
      </x:c>
      <x:c r="G16" s="212" t="n">
        <x:f>'07_Product_B'!C8</x:f>
        <x:v>0.96</x:v>
      </x:c>
      <x:c r="H16" s="212" t="n">
        <x:f>'07_Product_B'!C9</x:f>
        <x:v>0.85</x:v>
      </x:c>
      <x:c r="I16" s="187" t="n">
        <x:f>C16*E16*F16*G16*H16</x:f>
        <x:v>2864160</x:v>
      </x:c>
      <x:c r="J16" s="212" t="n">
        <x:f>IFERROR(D16/I16,0)</x:f>
        <x:v>0.314228255404726</x:v>
      </x:c>
      <x:c r="K16" s="213" t="n">
        <x:f>C16*'07_Product_B'!C19*'05_Assumptions'!C25</x:f>
        <x:v>13020000</x:v>
      </x:c>
      <x:c r="L16" s="213" t="n">
        <x:f>C16*'07_Product_B'!C18*'08_Strategies'!H8</x:f>
        <x:v>7200000</x:v>
      </x:c>
      <x:c r="M16" s="213" t="n">
        <x:f>C16*'07_Product_B'!C20/'05_Assumptions'!C7*'08_Strategies'!I8</x:f>
        <x:v>1200000</x:v>
      </x:c>
      <x:c r="N16" s="213" t="n">
        <x:f>D16*('07_Product_B'!C15+'07_Product_B'!C16)/(1-'07_Product_B'!C23)</x:f>
        <x:v>1056122.4489795917</x:v>
      </x:c>
      <x:c r="O16" s="213" t="n">
        <x:f>IFERROR(D16/E16,0)*'07_Product_B'!C17</x:f>
        <x:v>900000</x:v>
      </x:c>
      <x:c r="P16" s="213" t="n">
        <x:f>N16*'08_Strategies'!D8/365*'05_Assumptions'!C8+N16*'07_Product_B'!C23</x:f>
        <x:v>55844.2829186469</x:v>
      </x:c>
      <x:c r="Q16" s="213" t="n">
        <x:f>D16*'07_Product_B'!C21</x:f>
        <x:v>180000</x:v>
      </x:c>
      <x:c r="R16" s="213" t="n">
        <x:f>D16*('07_Product_B'!C15+'07_Product_B'!C16)*'08_Strategies'!J8</x:f>
        <x:v>258749.99999999997</x:v>
      </x:c>
      <x:c r="S16" s="213" t="n">
        <x:f>SUM(K16:R16)</x:f>
        <x:v>23870716.731898237</x:v>
      </x:c>
      <x:c r="T16" s="214" t="n">
        <x:f>IFERROR(S16/D16,0)</x:f>
        <x:v>26.523018590998042</x:v>
      </x:c>
      <x:c r="U16" s="215" t="n">
        <x:f>'07_Product_B'!C12+'07_Product_B'!C13+'07_Product_B'!C10+('07_Product_B'!C11*'08_Strategies'!E8)+'08_Strategies'!F8</x:f>
        <x:v>112</x:v>
      </x:c>
      <x:c r="V16" s="216" t="n">
        <x:f>MAX(0,C16*'05_Assumptions'!C19*'05_Assumptions'!C20*MAX(0,J16-(C16-1)/C16)/MAX(J16,0.0001)+'05_Assumptions'!C21*'05_Assumptions'!C22*MAX(0,J16-(1-'05_Assumptions'!C23*'08_Strategies'!G8))/MAX(J16,0.0001)+'05_Assumptions'!C17*'05_Assumptions'!C18*MAX(0,'05_Assumptions'!C16-I16/D16)/'05_Assumptions'!C16)</x:f>
        <x:v>0</x:v>
      </x:c>
    </x:row>
    <x:row r="17">
      <x:c r="A17" s="186" t="str">
        <x:v>Product B</x:v>
      </x:c>
      <x:c r="B17" s="187" t="str">
        <x:v>Additional centralized capacity</x:v>
      </x:c>
      <x:c r="C17" s="187" t="n">
        <x:f>'08_Strategies'!B9</x:f>
        <x:v>2</x:v>
      </x:c>
      <x:c r="D17" s="187" t="n">
        <x:f>'07_Product_B'!C5</x:f>
        <x:v>900000</x:v>
      </x:c>
      <x:c r="E17" s="187" t="n">
        <x:f>'07_Product_B'!C6</x:f>
        <x:v>30000</x:v>
      </x:c>
      <x:c r="F17" s="187" t="n">
        <x:f>'07_Product_B'!C7*'08_Strategies'!C9</x:f>
        <x:v>65.25</x:v>
      </x:c>
      <x:c r="G17" s="212" t="n">
        <x:f>'07_Product_B'!C8</x:f>
        <x:v>0.96</x:v>
      </x:c>
      <x:c r="H17" s="212" t="n">
        <x:f>'07_Product_B'!C9</x:f>
        <x:v>0.85</x:v>
      </x:c>
      <x:c r="I17" s="187" t="n">
        <x:f>C17*E17*F17*G17*H17</x:f>
        <x:v>3194640</x:v>
      </x:c>
      <x:c r="J17" s="212" t="n">
        <x:f>IFERROR(D17/I17,0)</x:f>
        <x:v>0.2817218841559612</x:v>
      </x:c>
      <x:c r="K17" s="213" t="n">
        <x:f>C17*'07_Product_B'!C19*'05_Assumptions'!C25</x:f>
        <x:v>13020000</x:v>
      </x:c>
      <x:c r="L17" s="213" t="n">
        <x:f>C17*'07_Product_B'!C18*'08_Strategies'!H9</x:f>
        <x:v>6600000.000000001</x:v>
      </x:c>
      <x:c r="M17" s="213" t="n">
        <x:f>C17*'07_Product_B'!C20/'05_Assumptions'!C7*'08_Strategies'!I9</x:f>
        <x:v>1200000</x:v>
      </x:c>
      <x:c r="N17" s="213" t="n">
        <x:f>D17*('07_Product_B'!C15+'07_Product_B'!C16)/(1-'07_Product_B'!C23)</x:f>
        <x:v>1056122.4489795917</x:v>
      </x:c>
      <x:c r="O17" s="213" t="n">
        <x:f>IFERROR(D17/E17,0)*'07_Product_B'!C17</x:f>
        <x:v>900000</x:v>
      </x:c>
      <x:c r="P17" s="213" t="n">
        <x:f>N17*'08_Strategies'!D9/365*'05_Assumptions'!C8+N17*'07_Product_B'!C23</x:f>
        <x:v>55844.2829186469</x:v>
      </x:c>
      <x:c r="Q17" s="213" t="n">
        <x:f>D17*'07_Product_B'!C21</x:f>
        <x:v>180000</x:v>
      </x:c>
      <x:c r="R17" s="213" t="n">
        <x:f>D17*('07_Product_B'!C15+'07_Product_B'!C16)*'08_Strategies'!J9</x:f>
        <x:v>0</x:v>
      </x:c>
      <x:c r="S17" s="213" t="n">
        <x:f>SUM(K17:R17)</x:f>
        <x:v>23011966.731898237</x:v>
      </x:c>
      <x:c r="T17" s="214" t="n">
        <x:f>IFERROR(S17/D17,0)</x:f>
        <x:v>25.568851924331373</x:v>
      </x:c>
      <x:c r="U17" s="215" t="n">
        <x:f>'07_Product_B'!C12+'07_Product_B'!C13+'07_Product_B'!C10+('07_Product_B'!C11*'08_Strategies'!E9)+'08_Strategies'!F9</x:f>
        <x:v>113</x:v>
      </x:c>
      <x:c r="V17" s="216" t="n">
        <x:f>MAX(0,C17*'05_Assumptions'!C19*'05_Assumptions'!C20*MAX(0,J17-(C17-1)/C17)/MAX(J17,0.0001)+'05_Assumptions'!C21*'05_Assumptions'!C22*MAX(0,J17-(1-'05_Assumptions'!C23*'08_Strategies'!G9))/MAX(J17,0.0001)+'05_Assumptions'!C17*'05_Assumptions'!C18*MAX(0,'05_Assumptions'!C16-I17/D17)/'05_Assumptions'!C16)</x:f>
        <x:v>0</x:v>
      </x:c>
    </x:row>
    <x:row r="18">
      <x:c r="A18" s="186" t="str">
        <x:v>Product B</x:v>
      </x:c>
      <x:c r="B18" s="187" t="str">
        <x:v>Distributed regional nodes</x:v>
      </x:c>
      <x:c r="C18" s="187" t="n">
        <x:f>'08_Strategies'!B10</x:f>
        <x:v>4</x:v>
      </x:c>
      <x:c r="D18" s="187" t="n">
        <x:f>'07_Product_B'!C5</x:f>
        <x:v>900000</x:v>
      </x:c>
      <x:c r="E18" s="187" t="n">
        <x:f>'07_Product_B'!C6</x:f>
        <x:v>30000</x:v>
      </x:c>
      <x:c r="F18" s="187" t="n">
        <x:f>'07_Product_B'!C7*'08_Strategies'!C10</x:f>
        <x:v>60.75000000000001</x:v>
      </x:c>
      <x:c r="G18" s="212" t="n">
        <x:f>'07_Product_B'!C8</x:f>
        <x:v>0.96</x:v>
      </x:c>
      <x:c r="H18" s="212" t="n">
        <x:f>'07_Product_B'!C9</x:f>
        <x:v>0.85</x:v>
      </x:c>
      <x:c r="I18" s="187" t="n">
        <x:f>C18*E18*F18*G18*H18</x:f>
        <x:v>5948640.000000001</x:v>
      </x:c>
      <x:c r="J18" s="212" t="n">
        <x:f>IFERROR(D18/I18,0)</x:f>
        <x:v>0.15129508593560878</x:v>
      </x:c>
      <x:c r="K18" s="213" t="n">
        <x:f>C18*'07_Product_B'!C19*'05_Assumptions'!C25</x:f>
        <x:v>26040000</x:v>
      </x:c>
      <x:c r="L18" s="213" t="n">
        <x:f>C18*'07_Product_B'!C18*'08_Strategies'!H10</x:f>
        <x:v>16800000</x:v>
      </x:c>
      <x:c r="M18" s="213" t="n">
        <x:f>C18*'07_Product_B'!C20/'05_Assumptions'!C7*'08_Strategies'!I10</x:f>
        <x:v>4000000</x:v>
      </x:c>
      <x:c r="N18" s="213" t="n">
        <x:f>D18*('07_Product_B'!C15+'07_Product_B'!C16)/(1-'07_Product_B'!C23)</x:f>
        <x:v>1056122.4489795917</x:v>
      </x:c>
      <x:c r="O18" s="213" t="n">
        <x:f>IFERROR(D18/E18,0)*'07_Product_B'!C17</x:f>
        <x:v>900000</x:v>
      </x:c>
      <x:c r="P18" s="213" t="n">
        <x:f>N18*'08_Strategies'!D10/365*'05_Assumptions'!C8+N18*'07_Product_B'!C23</x:f>
        <x:v>47163.82443388314</x:v>
      </x:c>
      <x:c r="Q18" s="213" t="n">
        <x:f>D18*'07_Product_B'!C21</x:f>
        <x:v>180000</x:v>
      </x:c>
      <x:c r="R18" s="213" t="n">
        <x:f>D18*('07_Product_B'!C15+'07_Product_B'!C16)*'08_Strategies'!J10</x:f>
        <x:v>0</x:v>
      </x:c>
      <x:c r="S18" s="213" t="n">
        <x:f>SUM(K18:R18)</x:f>
        <x:v>49023286.27341348</x:v>
      </x:c>
      <x:c r="T18" s="214" t="n">
        <x:f>IFERROR(S18/D18,0)</x:f>
        <x:v>54.47031808157053</x:v>
      </x:c>
      <x:c r="U18" s="215" t="n">
        <x:f>'07_Product_B'!C12+'07_Product_B'!C13+'07_Product_B'!C10+('07_Product_B'!C11*'08_Strategies'!E10)+'08_Strategies'!F10</x:f>
        <x:v>110</x:v>
      </x:c>
      <x:c r="V18" s="216" t="n">
        <x:f>MAX(0,C18*'05_Assumptions'!C19*'05_Assumptions'!C20*MAX(0,J18-(C18-1)/C18)/MAX(J18,0.0001)+'05_Assumptions'!C21*'05_Assumptions'!C22*MAX(0,J18-(1-'05_Assumptions'!C23*'08_Strategies'!G10))/MAX(J18,0.0001)+'05_Assumptions'!C17*'05_Assumptions'!C18*MAX(0,'05_Assumptions'!C16-I18/D18)/'05_Assumptions'!C16)</x:f>
        <x:v>0</x:v>
      </x:c>
    </x:row>
    <x:row r="19">
      <x:c r="A19" s="186" t="str">
        <x:v>Product B</x:v>
      </x:c>
      <x:c r="B19" s="187" t="str">
        <x:v>Distributed + validated release assurance</x:v>
      </x:c>
      <x:c r="C19" s="187" t="n">
        <x:f>'08_Strategies'!B11</x:f>
        <x:v>4</x:v>
      </x:c>
      <x:c r="D19" s="187" t="n">
        <x:f>'07_Product_B'!C5</x:f>
        <x:v>900000</x:v>
      </x:c>
      <x:c r="E19" s="187" t="n">
        <x:f>'07_Product_B'!C6</x:f>
        <x:v>30000</x:v>
      </x:c>
      <x:c r="F19" s="187" t="n">
        <x:f>'07_Product_B'!C7*'08_Strategies'!C11</x:f>
        <x:v>60.75000000000001</x:v>
      </x:c>
      <x:c r="G19" s="212" t="n">
        <x:f>'07_Product_B'!C8</x:f>
        <x:v>0.96</x:v>
      </x:c>
      <x:c r="H19" s="212" t="n">
        <x:f>'07_Product_B'!C9</x:f>
        <x:v>0.85</x:v>
      </x:c>
      <x:c r="I19" s="187" t="n">
        <x:f>C19*E19*F19*G19*H19</x:f>
        <x:v>5948640.000000001</x:v>
      </x:c>
      <x:c r="J19" s="212" t="n">
        <x:f>IFERROR(D19/I19,0)</x:f>
        <x:v>0.15129508593560878</x:v>
      </x:c>
      <x:c r="K19" s="213" t="n">
        <x:f>C19*'07_Product_B'!C19*'05_Assumptions'!C25</x:f>
        <x:v>26040000</x:v>
      </x:c>
      <x:c r="L19" s="213" t="n">
        <x:f>C19*'07_Product_B'!C18*'08_Strategies'!H11</x:f>
        <x:v>18000000</x:v>
      </x:c>
      <x:c r="M19" s="213" t="n">
        <x:f>C19*'07_Product_B'!C20/'05_Assumptions'!C7*'08_Strategies'!I11</x:f>
        <x:v>4800000</x:v>
      </x:c>
      <x:c r="N19" s="213" t="n">
        <x:f>D19*('07_Product_B'!C15+'07_Product_B'!C16)/(1-'07_Product_B'!C23)</x:f>
        <x:v>1056122.4489795917</x:v>
      </x:c>
      <x:c r="O19" s="213" t="n">
        <x:f>IFERROR(D19/E19,0)*'07_Product_B'!C17</x:f>
        <x:v>900000</x:v>
      </x:c>
      <x:c r="P19" s="213" t="n">
        <x:f>N19*'08_Strategies'!D11/365*'05_Assumptions'!C8+N19*'07_Product_B'!C23</x:f>
        <x:v>47163.82443388314</x:v>
      </x:c>
      <x:c r="Q19" s="213" t="n">
        <x:f>D19*'07_Product_B'!C21</x:f>
        <x:v>180000</x:v>
      </x:c>
      <x:c r="R19" s="213" t="n">
        <x:f>D19*('07_Product_B'!C15+'07_Product_B'!C16)*'08_Strategies'!J11</x:f>
        <x:v>0</x:v>
      </x:c>
      <x:c r="S19" s="213" t="n">
        <x:f>SUM(K19:R19)</x:f>
        <x:v>51023286.27341348</x:v>
      </x:c>
      <x:c r="T19" s="214" t="n">
        <x:f>IFERROR(S19/D19,0)</x:f>
        <x:v>56.692540303792754</x:v>
      </x:c>
      <x:c r="U19" s="215" t="n">
        <x:f>'07_Product_B'!C12+'07_Product_B'!C13+'07_Product_B'!C10+('07_Product_B'!C11*'08_Strategies'!E11)+'08_Strategies'!F11</x:f>
        <x:v>105.2</x:v>
      </x:c>
      <x:c r="V19" s="216" t="n">
        <x:f>MAX(0,C19*'05_Assumptions'!C19*'05_Assumptions'!C20*MAX(0,J19-(C19-1)/C19)/MAX(J19,0.0001)+'05_Assumptions'!C21*'05_Assumptions'!C22*MAX(0,J19-(1-'05_Assumptions'!C23*'08_Strategies'!G11))/MAX(J19,0.0001)+'05_Assumptions'!C17*'05_Assumptions'!C18*MAX(0,'05_Assumptions'!C16-I19/D19)/'05_Assumptions'!C16)</x:f>
        <x:v>0</x:v>
      </x:c>
    </x:row>
    <x:row r="20">
      <x:c r="A20" s="189" t="str">
        <x:v>Product B</x:v>
      </x:c>
      <x:c r="B20" s="190" t="str">
        <x:v>503B shortage response</x:v>
      </x:c>
      <x:c r="C20" s="190" t="n">
        <x:f>'08_Strategies'!B12</x:f>
        <x:v>2</x:v>
      </x:c>
      <x:c r="D20" s="190" t="n">
        <x:f>'07_Product_B'!C5</x:f>
        <x:v>900000</x:v>
      </x:c>
      <x:c r="E20" s="190" t="n">
        <x:f>'07_Product_B'!C6</x:f>
        <x:v>30000</x:v>
      </x:c>
      <x:c r="F20" s="190" t="n">
        <x:f>'07_Product_B'!C7*'08_Strategies'!C12</x:f>
        <x:v>51.74999999999999</x:v>
      </x:c>
      <x:c r="G20" s="217" t="n">
        <x:f>'07_Product_B'!C8</x:f>
        <x:v>0.96</x:v>
      </x:c>
      <x:c r="H20" s="217" t="n">
        <x:f>'07_Product_B'!C9</x:f>
        <x:v>0.85</x:v>
      </x:c>
      <x:c r="I20" s="190" t="n">
        <x:f>C20*E20*F20*G20*H20</x:f>
        <x:v>2533679.9999999995</x:v>
      </x:c>
      <x:c r="J20" s="217" t="n">
        <x:f>IFERROR(D20/I20,0)</x:f>
        <x:v>0.3552145495879512</x:v>
      </x:c>
      <x:c r="K20" s="218" t="n">
        <x:f>C20*'07_Product_B'!C19*'05_Assumptions'!C25</x:f>
        <x:v>13020000</x:v>
      </x:c>
      <x:c r="L20" s="218" t="n">
        <x:f>C20*'07_Product_B'!C18*'08_Strategies'!H12</x:f>
        <x:v>7500000</x:v>
      </x:c>
      <x:c r="M20" s="218" t="n">
        <x:f>C20*'07_Product_B'!C20/'05_Assumptions'!C7*'08_Strategies'!I12</x:f>
        <x:v>800000</x:v>
      </x:c>
      <x:c r="N20" s="218" t="n">
        <x:f>D20*('07_Product_B'!C15+'07_Product_B'!C16)/(1-'07_Product_B'!C23)</x:f>
        <x:v>1056122.4489795917</x:v>
      </x:c>
      <x:c r="O20" s="218" t="n">
        <x:f>IFERROR(D20/E20,0)*'07_Product_B'!C17</x:f>
        <x:v>900000</x:v>
      </x:c>
      <x:c r="P20" s="218" t="n">
        <x:f>N20*'08_Strategies'!D12/365*'05_Assumptions'!C8+N20*'07_Product_B'!C23</x:f>
        <x:v>38483.36594911937</x:v>
      </x:c>
      <x:c r="Q20" s="218" t="n">
        <x:f>D20*'07_Product_B'!C21</x:f>
        <x:v>180000</x:v>
      </x:c>
      <x:c r="R20" s="218" t="n">
        <x:f>D20*('07_Product_B'!C15+'07_Product_B'!C16)*'08_Strategies'!J12</x:f>
        <x:v>155249.99999999997</x:v>
      </x:c>
      <x:c r="S20" s="218" t="n">
        <x:f>SUM(K20:R20)</x:f>
        <x:v>23649855.81492871</x:v>
      </x:c>
      <x:c r="T20" s="219" t="n">
        <x:f>IFERROR(S20/D20,0)</x:f>
        <x:v>26.27761757214301</x:v>
      </x:c>
      <x:c r="U20" s="220" t="n">
        <x:f>'07_Product_B'!C12+'07_Product_B'!C13+'07_Product_B'!C10+('07_Product_B'!C11*'08_Strategies'!E12)+'08_Strategies'!F12</x:f>
        <x:v>111</x:v>
      </x:c>
      <x:c r="V20" s="221" t="n">
        <x:f>MAX(0,C20*'05_Assumptions'!C19*'05_Assumptions'!C20*MAX(0,J20-(C20-1)/C20)/MAX(J20,0.0001)+'05_Assumptions'!C21*'05_Assumptions'!C22*MAX(0,J20-(1-'05_Assumptions'!C23*'08_Strategies'!G12))/MAX(J20,0.0001)+'05_Assumptions'!C17*'05_Assumptions'!C18*MAX(0,'05_Assumptions'!C16-I20/D20)/'05_Assumptions'!C16)</x:f>
        <x:v>0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36" hidden="0" customWidth="1"/>
    <x:col min="9" max="9" width="31" hidden="0" customWidth="1"/>
    <x:col min="10" max="10" width="24" hidden="0" customWidth="1"/>
    <x:col min="11" max="11" width="18" hidden="0" customWidth="1"/>
  </x:cols>
  <x:sheetData>
    <x:row r="1" ht="30" customHeight="1">
      <x:c r="A1" s="230" t="str">
        <x:v>Monte Carlo parameter specification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</x:row>
    <x:row r="2" ht="30" customHeight="1">
      <x:c r="A2" s="231" t="str">
        <x:v>Use a seeded Python engine with common random numbers across strategies. Preserve correlations and export tidy results to 16_Sim_Output.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</x:row>
    <x:row r="4">
      <x:c r="A4" s="182" t="str">
        <x:v>Parameter</x:v>
      </x:c>
      <x:c r="B4" s="182" t="str">
        <x:v>Entity</x:v>
      </x:c>
      <x:c r="C4" s="182" t="str">
        <x:v>Distribution</x:v>
      </x:c>
      <x:c r="D4" s="182" t="str">
        <x:v>Low / p10</x:v>
      </x:c>
      <x:c r="E4" s="182" t="str">
        <x:v>Base / median</x:v>
      </x:c>
      <x:c r="F4" s="182" t="str">
        <x:v>High / p90</x:v>
      </x:c>
      <x:c r="G4" s="182" t="str">
        <x:v>Correlation group</x:v>
      </x:c>
      <x:c r="H4" s="182" t="str">
        <x:v>Sampling rule</x:v>
      </x:c>
      <x:c r="I4" s="182" t="str">
        <x:v>Calibration target</x:v>
      </x:c>
      <x:c r="J4" s="182" t="str">
        <x:v>Source</x:v>
      </x:c>
      <x:c r="K4" s="182" t="str">
        <x:v>Status</x:v>
      </x:c>
    </x:row>
    <x:row r="5">
      <x:c r="A5" s="183" t="str">
        <x:v>Baseline demand</x:v>
      </x:c>
      <x:c r="B5" s="184" t="str">
        <x:v>Product-region</x:v>
      </x:c>
      <x:c r="C5" s="203" t="str">
        <x:v>Lognormal</x:v>
      </x:c>
      <x:c r="D5" s="203" t="str">
        <x:v>Product sheet</x:v>
      </x:c>
      <x:c r="E5" s="203" t="str">
        <x:v>Product sheet</x:v>
      </x:c>
      <x:c r="F5" s="203" t="str">
        <x:v>Product sheet</x:v>
      </x:c>
      <x:c r="G5" s="203" t="str">
        <x:v>Demand</x:v>
      </x:c>
      <x:c r="H5" s="203" t="str">
        <x:v>Hierarchical region shares</x:v>
      </x:c>
      <x:c r="I5" s="184" t="str">
        <x:v>Annual demand by region</x:v>
      </x:c>
      <x:c r="J5" s="184" t="str">
        <x:v>Hospital/GPO</x:v>
      </x:c>
      <x:c r="K5" s="185" t="str">
        <x:v>Missing</x:v>
      </x:c>
    </x:row>
    <x:row r="6">
      <x:c r="A6" s="186" t="str">
        <x:v>Routine demand noise</x:v>
      </x:c>
      <x:c r="B6" s="187" t="str">
        <x:v>Product-region-day</x:v>
      </x:c>
      <x:c r="C6" s="203" t="str">
        <x:v>Lognormal AR(1)</x:v>
      </x:c>
      <x:c r="D6" s="203" t="n">
        <x:v>0.08</x:v>
      </x:c>
      <x:c r="E6" s="203" t="n">
        <x:v>0.15</x:v>
      </x:c>
      <x:c r="F6" s="203" t="n">
        <x:v>0.3</x:v>
      </x:c>
      <x:c r="G6" s="203" t="str">
        <x:v>Demand</x:v>
      </x:c>
      <x:c r="H6" s="203" t="str">
        <x:v>Preserve nonnegative demand</x:v>
      </x:c>
      <x:c r="I6" s="187" t="str">
        <x:v>Weekly CV/autocorrelation</x:v>
      </x:c>
      <x:c r="J6" s="187" t="str">
        <x:v>05_Assumptions</x:v>
      </x:c>
      <x:c r="K6" s="188" t="str">
        <x:v>Illustrative</x:v>
      </x:c>
    </x:row>
    <x:row r="7">
      <x:c r="A7" s="186" t="str">
        <x:v>Demand shock arrivals</x:v>
      </x:c>
      <x:c r="B7" s="187" t="str">
        <x:v>Network</x:v>
      </x:c>
      <x:c r="C7" s="203" t="str">
        <x:v>Poisson</x:v>
      </x:c>
      <x:c r="D7" s="203" t="n">
        <x:v>0.1</x:v>
      </x:c>
      <x:c r="E7" s="203" t="n">
        <x:v>0.4</x:v>
      </x:c>
      <x:c r="F7" s="203" t="n">
        <x:v>1</x:v>
      </x:c>
      <x:c r="G7" s="203" t="str">
        <x:v>Demand shock</x:v>
      </x:c>
      <x:c r="H7" s="203" t="str">
        <x:v>Common draws across strategies</x:v>
      </x:c>
      <x:c r="I7" s="187" t="str">
        <x:v>Historic surge episodes</x:v>
      </x:c>
      <x:c r="J7" s="187" t="str">
        <x:v>05_Assumptions</x:v>
      </x:c>
      <x:c r="K7" s="188" t="str">
        <x:v>Illustrative</x:v>
      </x:c>
    </x:row>
    <x:row r="8">
      <x:c r="A8" s="186" t="str">
        <x:v>Demand shock magnitude</x:v>
      </x:c>
      <x:c r="B8" s="187" t="str">
        <x:v>Affected regions</x:v>
      </x:c>
      <x:c r="C8" s="203" t="str">
        <x:v>Lognormal</x:v>
      </x:c>
      <x:c r="D8" s="203" t="n">
        <x:v>1.1</x:v>
      </x:c>
      <x:c r="E8" s="203" t="n">
        <x:v>1.35</x:v>
      </x:c>
      <x:c r="F8" s="203" t="n">
        <x:v>2</x:v>
      </x:c>
      <x:c r="G8" s="203" t="str">
        <x:v>Demand shock</x:v>
      </x:c>
      <x:c r="H8" s="203" t="str">
        <x:v>Correlated by clinical event</x:v>
      </x:c>
      <x:c r="I8" s="187" t="str">
        <x:v>Peak utilization</x:v>
      </x:c>
      <x:c r="J8" s="187" t="str">
        <x:v>05_Assumptions</x:v>
      </x:c>
      <x:c r="K8" s="188" t="str">
        <x:v>Illustrative</x:v>
      </x:c>
    </x:row>
    <x:row r="9">
      <x:c r="A9" s="186" t="str">
        <x:v>Site failure arrivals</x:v>
      </x:c>
      <x:c r="B9" s="187" t="str">
        <x:v>Site</x:v>
      </x:c>
      <x:c r="C9" s="203" t="str">
        <x:v>Poisson</x:v>
      </x:c>
      <x:c r="D9" s="203" t="n">
        <x:v>0.05</x:v>
      </x:c>
      <x:c r="E9" s="203" t="n">
        <x:v>0.2</x:v>
      </x:c>
      <x:c r="F9" s="203" t="n">
        <x:v>0.6</x:v>
      </x:c>
      <x:c r="G9" s="203" t="str">
        <x:v>Site</x:v>
      </x:c>
      <x:c r="H9" s="203" t="str">
        <x:v>Independent conditional on common events</x:v>
      </x:c>
      <x:c r="I9" s="187" t="str">
        <x:v>Plant-specific shortage history</x:v>
      </x:c>
      <x:c r="J9" s="187" t="str">
        <x:v>05_Assumptions</x:v>
      </x:c>
      <x:c r="K9" s="188" t="str">
        <x:v>Illustrative</x:v>
      </x:c>
    </x:row>
    <x:row r="10">
      <x:c r="A10" s="186" t="str">
        <x:v>Site failure duration</x:v>
      </x:c>
      <x:c r="B10" s="187" t="str">
        <x:v>Event</x:v>
      </x:c>
      <x:c r="C10" s="203" t="str">
        <x:v>Lognormal</x:v>
      </x:c>
      <x:c r="D10" s="203" t="n">
        <x:v>7</x:v>
      </x:c>
      <x:c r="E10" s="203" t="n">
        <x:v>45</x:v>
      </x:c>
      <x:c r="F10" s="203" t="n">
        <x:v>180</x:v>
      </x:c>
      <x:c r="G10" s="203" t="str">
        <x:v>Site</x:v>
      </x:c>
      <x:c r="H10" s="203" t="str">
        <x:v>Right-skewed; censor at horizon</x:v>
      </x:c>
      <x:c r="I10" s="187" t="str">
        <x:v>Recovery-duration distribution</x:v>
      </x:c>
      <x:c r="J10" s="187" t="str">
        <x:v>S04/S25</x:v>
      </x:c>
      <x:c r="K10" s="188" t="str">
        <x:v>Illustrative</x:v>
      </x:c>
    </x:row>
    <x:row r="11">
      <x:c r="A11" s="186" t="str">
        <x:v>Common-cause arrivals</x:v>
      </x:c>
      <x:c r="B11" s="187" t="str">
        <x:v>Network</x:v>
      </x:c>
      <x:c r="C11" s="203" t="str">
        <x:v>Poisson</x:v>
      </x:c>
      <x:c r="D11" s="203" t="n">
        <x:v>0.02</x:v>
      </x:c>
      <x:c r="E11" s="203" t="n">
        <x:v>0.1</x:v>
      </x:c>
      <x:c r="F11" s="203" t="n">
        <x:v>0.3</x:v>
      </x:c>
      <x:c r="G11" s="203" t="str">
        <x:v>Common</x:v>
      </x:c>
      <x:c r="H11" s="203" t="str">
        <x:v>Shared API/component/regulatory event</x:v>
      </x:c>
      <x:c r="I11" s="187" t="str">
        <x:v>Multi-site episodes</x:v>
      </x:c>
      <x:c r="J11" s="187" t="str">
        <x:v>05_Assumptions</x:v>
      </x:c>
      <x:c r="K11" s="188" t="str">
        <x:v>Illustrative</x:v>
      </x:c>
    </x:row>
    <x:row r="12">
      <x:c r="A12" s="186" t="str">
        <x:v>Common-cause impact</x:v>
      </x:c>
      <x:c r="B12" s="187" t="str">
        <x:v>Affected sites</x:v>
      </x:c>
      <x:c r="C12" s="203" t="str">
        <x:v>Beta</x:v>
      </x:c>
      <x:c r="D12" s="203" t="n">
        <x:v>0.2</x:v>
      </x:c>
      <x:c r="E12" s="203" t="n">
        <x:v>0.5</x:v>
      </x:c>
      <x:c r="F12" s="203" t="n">
        <x:v>1</x:v>
      </x:c>
      <x:c r="G12" s="203" t="str">
        <x:v>Common</x:v>
      </x:c>
      <x:c r="H12" s="203" t="str">
        <x:v>Correlate within supplier/component group</x:v>
      </x:c>
      <x:c r="I12" s="187" t="str">
        <x:v>Capacity lost</x:v>
      </x:c>
      <x:c r="J12" s="187" t="str">
        <x:v>05_Assumptions</x:v>
      </x:c>
      <x:c r="K12" s="188" t="str">
        <x:v>Illustrative</x:v>
      </x:c>
    </x:row>
    <x:row r="13">
      <x:c r="A13" s="186" t="str">
        <x:v>Yield</x:v>
      </x:c>
      <x:c r="B13" s="187" t="str">
        <x:v>Batch</x:v>
      </x:c>
      <x:c r="C13" s="203" t="str">
        <x:v>Beta</x:v>
      </x:c>
      <x:c r="D13" s="203" t="str">
        <x:v>Product sheet</x:v>
      </x:c>
      <x:c r="E13" s="203" t="str">
        <x:v>Product sheet</x:v>
      </x:c>
      <x:c r="F13" s="203" t="str">
        <x:v>Product sheet</x:v>
      </x:c>
      <x:c r="G13" s="203" t="str">
        <x:v>Quality</x:v>
      </x:c>
      <x:c r="H13" s="203" t="str">
        <x:v>Hierarchical site + batch effect</x:v>
      </x:c>
      <x:c r="I13" s="187" t="str">
        <x:v>Batch-history distribution</x:v>
      </x:c>
      <x:c r="J13" s="187" t="str">
        <x:v>Product sheet</x:v>
      </x:c>
      <x:c r="K13" s="188" t="str">
        <x:v>Missing</x:v>
      </x:c>
    </x:row>
    <x:row r="14">
      <x:c r="A14" s="186" t="str">
        <x:v>Uptime</x:v>
      </x:c>
      <x:c r="B14" s="187" t="str">
        <x:v>Site-month</x:v>
      </x:c>
      <x:c r="C14" s="203" t="str">
        <x:v>Beta</x:v>
      </x:c>
      <x:c r="D14" s="203" t="str">
        <x:v>Product sheet</x:v>
      </x:c>
      <x:c r="E14" s="203" t="str">
        <x:v>Product sheet</x:v>
      </x:c>
      <x:c r="F14" s="203" t="str">
        <x:v>Product sheet</x:v>
      </x:c>
      <x:c r="G14" s="203" t="str">
        <x:v>Operations</x:v>
      </x:c>
      <x:c r="H14" s="203" t="str">
        <x:v>Autocorrelated</x:v>
      </x:c>
      <x:c r="I14" s="187" t="str">
        <x:v>OEE history</x:v>
      </x:c>
      <x:c r="J14" s="187" t="str">
        <x:v>Product sheet</x:v>
      </x:c>
      <x:c r="K14" s="188" t="str">
        <x:v>Missing</x:v>
      </x:c>
    </x:row>
    <x:row r="15">
      <x:c r="A15" s="186" t="str">
        <x:v>Release time</x:v>
      </x:c>
      <x:c r="B15" s="187" t="str">
        <x:v>Batch</x:v>
      </x:c>
      <x:c r="C15" s="203" t="str">
        <x:v>Lognormal</x:v>
      </x:c>
      <x:c r="D15" s="203" t="str">
        <x:v>Product sheet</x:v>
      </x:c>
      <x:c r="E15" s="203" t="str">
        <x:v>Product sheet</x:v>
      </x:c>
      <x:c r="F15" s="203" t="str">
        <x:v>Product sheet</x:v>
      </x:c>
      <x:c r="G15" s="203" t="str">
        <x:v>Quality</x:v>
      </x:c>
      <x:c r="H15" s="203" t="str">
        <x:v>Conditional on deviation state</x:v>
      </x:c>
      <x:c r="I15" s="187" t="str">
        <x:v>Batch disposition history</x:v>
      </x:c>
      <x:c r="J15" s="187" t="str">
        <x:v>Product sheet</x:v>
      </x:c>
      <x:c r="K15" s="188" t="str">
        <x:v>Missing</x:v>
      </x:c>
    </x:row>
    <x:row r="16">
      <x:c r="A16" s="186" t="str">
        <x:v>Batch rejection/deviation</x:v>
      </x:c>
      <x:c r="B16" s="187" t="str">
        <x:v>Batch</x:v>
      </x:c>
      <x:c r="C16" s="203" t="str">
        <x:v>Bernoulli</x:v>
      </x:c>
      <x:c r="D16" s="203" t="n">
        <x:v>0.005</x:v>
      </x:c>
      <x:c r="E16" s="203" t="n">
        <x:v>0.02</x:v>
      </x:c>
      <x:c r="F16" s="203" t="n">
        <x:v>0.08</x:v>
      </x:c>
      <x:c r="G16" s="203" t="str">
        <x:v>Quality</x:v>
      </x:c>
      <x:c r="H16" s="203" t="str">
        <x:v>Site random effect</x:v>
      </x:c>
      <x:c r="I16" s="187" t="str">
        <x:v>Deviation/rejection frequency</x:v>
      </x:c>
      <x:c r="J16" s="187" t="str">
        <x:v>Expert/plant data</x:v>
      </x:c>
      <x:c r="K16" s="188" t="str">
        <x:v>Missing</x:v>
      </x:c>
    </x:row>
    <x:row r="17">
      <x:c r="A17" s="186" t="str">
        <x:v>API lead time</x:v>
      </x:c>
      <x:c r="B17" s="187" t="str">
        <x:v>Order</x:v>
      </x:c>
      <x:c r="C17" s="203" t="str">
        <x:v>Lognormal</x:v>
      </x:c>
      <x:c r="D17" s="203" t="str">
        <x:v>Product sheet</x:v>
      </x:c>
      <x:c r="E17" s="203" t="str">
        <x:v>Product sheet</x:v>
      </x:c>
      <x:c r="F17" s="203" t="str">
        <x:v>Product sheet</x:v>
      </x:c>
      <x:c r="G17" s="203" t="str">
        <x:v>Supplier</x:v>
      </x:c>
      <x:c r="H17" s="203" t="str">
        <x:v>Shared by supplier</x:v>
      </x:c>
      <x:c r="I17" s="187" t="str">
        <x:v>PO receipt history</x:v>
      </x:c>
      <x:c r="J17" s="187" t="str">
        <x:v>Product sheet</x:v>
      </x:c>
      <x:c r="K17" s="188" t="str">
        <x:v>Missing</x:v>
      </x:c>
    </x:row>
    <x:row r="18">
      <x:c r="A18" s="189" t="str">
        <x:v>Transport time</x:v>
      </x:c>
      <x:c r="B18" s="190" t="str">
        <x:v>Shipment</x:v>
      </x:c>
      <x:c r="C18" s="203" t="str">
        <x:v>Gamma</x:v>
      </x:c>
      <x:c r="D18" s="203" t="n">
        <x:v>1</x:v>
      </x:c>
      <x:c r="E18" s="203" t="n">
        <x:v>2</x:v>
      </x:c>
      <x:c r="F18" s="203" t="n">
        <x:v>5</x:v>
      </x:c>
      <x:c r="G18" s="203" t="str">
        <x:v>Logistics</x:v>
      </x:c>
      <x:c r="H18" s="203" t="str">
        <x:v>Weather-region effect</x:v>
      </x:c>
      <x:c r="I18" s="190" t="str">
        <x:v>Distributor service levels</x:v>
      </x:c>
      <x:c r="J18" s="190" t="str">
        <x:v>Distributor</x:v>
      </x:c>
      <x:c r="K18" s="191" t="str">
        <x:v>Missing</x:v>
      </x:c>
    </x:row>
  </x:sheetData>
  <x:mergeCells>
    <x:mergeCell ref="A1:K1"/>
    <x:mergeCell ref="A2:K2"/>
  </x:mergeCells>
  <x:dataValidations count="1">
    <x:dataValidation type="list" sqref="K5:K18">
      <x:formula1>"Sourced,Expert-validated,Illustrative,Missing"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21" hidden="0" customWidth="1"/>
    <x:col min="6" max="6" width="21" hidden="0" customWidth="1"/>
    <x:col min="7" max="7" width="41" hidden="0" customWidth="1"/>
    <x:col min="8" max="8" width="22" hidden="0" customWidth="1"/>
    <x:col min="9" max="9" width="44" hidden="0" customWidth="1"/>
    <x:col min="10" max="10" width="14" hidden="0" customWidth="1"/>
  </x:cols>
  <x:sheetData>
    <x:row r="1" ht="30" customHeight="1">
      <x:c r="A1" s="230" t="str">
        <x:v>Sensitivity and decision-reversal plan</x:v>
      </x:c>
      <x:c r="B1" s="165"/>
      <x:c r="C1" s="165"/>
      <x:c r="D1" s="165"/>
      <x:c r="E1" s="165"/>
      <x:c r="F1" s="165"/>
      <x:c r="G1" s="165"/>
      <x:c r="H1" s="165"/>
      <x:c r="I1" s="165"/>
      <x:c r="J1" s="165"/>
    </x:row>
    <x:row r="2" ht="30" customHeight="1">
      <x:c r="A2" s="231" t="str">
        <x:v>Run one-way screening, then global sensitivity (Sobol/PRCC) and structural alternatives. Publication requires reporting where the preferred strategy changes.</x:v>
      </x:c>
      <x:c r="B2" s="165"/>
      <x:c r="C2" s="165"/>
      <x:c r="D2" s="165"/>
      <x:c r="E2" s="165"/>
      <x:c r="F2" s="165"/>
      <x:c r="G2" s="165"/>
      <x:c r="H2" s="165"/>
      <x:c r="I2" s="165"/>
      <x:c r="J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</x:row>
    <x:row r="4">
      <x:c r="A4" s="182" t="str">
        <x:v>Parameter</x:v>
      </x:c>
      <x:c r="B4" s="182" t="str">
        <x:v>Low</x:v>
      </x:c>
      <x:c r="C4" s="182" t="str">
        <x:v>Base</x:v>
      </x:c>
      <x:c r="D4" s="182" t="str">
        <x:v>High</x:v>
      </x:c>
      <x:c r="E4" s="182" t="str">
        <x:v>Primary output</x:v>
      </x:c>
      <x:c r="F4" s="182" t="str">
        <x:v>Secondary output</x:v>
      </x:c>
      <x:c r="G4" s="182" t="str">
        <x:v>Expected direction</x:v>
      </x:c>
      <x:c r="H4" s="182" t="str">
        <x:v>Global method</x:v>
      </x:c>
      <x:c r="I4" s="182" t="str">
        <x:v>Decision-reversal question</x:v>
      </x:c>
      <x:c r="J4" s="182" t="str">
        <x:v>Status</x:v>
      </x:c>
    </x:row>
    <x:row r="5">
      <x:c r="A5" s="183" t="str">
        <x:v>Capacity utilization</x:v>
      </x:c>
      <x:c r="B5" s="203" t="n">
        <x:v>0.4</x:v>
      </x:c>
      <x:c r="C5" s="203" t="n">
        <x:v>0.7</x:v>
      </x:c>
      <x:c r="D5" s="203" t="n">
        <x:v>0.95</x:v>
      </x:c>
      <x:c r="E5" s="184" t="str">
        <x:v>Cost/unit</x:v>
      </x:c>
      <x:c r="F5" s="184" t="str">
        <x:v>Shortage-days</x:v>
      </x:c>
      <x:c r="G5" s="184" t="str">
        <x:v>Higher utilization lowers fixed cost/unit but reduces surge headroom</x:v>
      </x:c>
      <x:c r="H5" s="184" t="str">
        <x:v>Sobol + partial rank correlation</x:v>
      </x:c>
      <x:c r="I5" s="184" t="str">
        <x:v>At what utilization does distributed lose its reliability advantage?</x:v>
      </x:c>
      <x:c r="J5" s="185" t="str">
        <x:v>Planned</x:v>
      </x:c>
    </x:row>
    <x:row r="6">
      <x:c r="A6" s="186" t="str">
        <x:v>Release time</x:v>
      </x:c>
      <x:c r="B6" s="204" t="n">
        <x:v>3</x:v>
      </x:c>
      <x:c r="C6" s="204" t="n">
        <x:v>14</x:v>
      </x:c>
      <x:c r="D6" s="204" t="n">
        <x:v>35</x:v>
      </x:c>
      <x:c r="E6" s="187" t="str">
        <x:v>Response days</x:v>
      </x:c>
      <x:c r="F6" s="187" t="str">
        <x:v>Shortage-days</x:v>
      </x:c>
      <x:c r="G6" s="187" t="str">
        <x:v>Longer release erodes local-response value</x:v>
      </x:c>
      <x:c r="H6" s="187" t="str">
        <x:v>Sobol</x:v>
      </x:c>
      <x:c r="I6" s="187" t="str">
        <x:v>Does proximity matter after release latency?</x:v>
      </x:c>
      <x:c r="J6" s="188" t="str">
        <x:v>Planned</x:v>
      </x:c>
    </x:row>
    <x:row r="7">
      <x:c r="A7" s="186" t="str">
        <x:v>Fixed QA/labor per node</x:v>
      </x:c>
      <x:c r="B7" s="204" t="n">
        <x:v>1500000</x:v>
      </x:c>
      <x:c r="C7" s="204" t="n">
        <x:v>3000000</x:v>
      </x:c>
      <x:c r="D7" s="204" t="n">
        <x:v>7000000</x:v>
      </x:c>
      <x:c r="E7" s="187" t="str">
        <x:v>Cost/unit</x:v>
      </x:c>
      <x:c r="F7" s="187" t="str">
        <x:v>Break-even volume</x:v>
      </x:c>
      <x:c r="G7" s="187" t="str">
        <x:v>Higher fixed cost penalizes node count</x:v>
      </x:c>
      <x:c r="H7" s="187" t="str">
        <x:v>Sobol</x:v>
      </x:c>
      <x:c r="I7" s="187" t="str">
        <x:v>What annual commitment supports each node?</x:v>
      </x:c>
      <x:c r="J7" s="188" t="str">
        <x:v>Planned</x:v>
      </x:c>
    </x:row>
    <x:row r="8">
      <x:c r="A8" s="186" t="str">
        <x:v>Yield</x:v>
      </x:c>
      <x:c r="B8" s="204" t="n">
        <x:v>0.85</x:v>
      </x:c>
      <x:c r="C8" s="204" t="n">
        <x:v>0.96</x:v>
      </x:c>
      <x:c r="D8" s="204" t="n">
        <x:v>0.99</x:v>
      </x:c>
      <x:c r="E8" s="187" t="str">
        <x:v>Cost/unit</x:v>
      </x:c>
      <x:c r="F8" s="187" t="str">
        <x:v>Fill rate</x:v>
      </x:c>
      <x:c r="G8" s="187" t="str">
        <x:v>Lower yield reduces capacity and raises cost</x:v>
      </x:c>
      <x:c r="H8" s="187" t="str">
        <x:v>Sobol</x:v>
      </x:c>
      <x:c r="I8" s="187" t="str">
        <x:v>Does one-point yield loss reverse the choice?</x:v>
      </x:c>
      <x:c r="J8" s="188" t="str">
        <x:v>Planned</x:v>
      </x:c>
    </x:row>
    <x:row r="9">
      <x:c r="A9" s="186" t="str">
        <x:v>Uptime</x:v>
      </x:c>
      <x:c r="B9" s="204" t="n">
        <x:v>0.65</x:v>
      </x:c>
      <x:c r="C9" s="204" t="n">
        <x:v>0.85</x:v>
      </x:c>
      <x:c r="D9" s="204" t="n">
        <x:v>0.97</x:v>
      </x:c>
      <x:c r="E9" s="187" t="str">
        <x:v>Fill rate</x:v>
      </x:c>
      <x:c r="F9" s="187" t="str">
        <x:v>Cost/unit</x:v>
      </x:c>
      <x:c r="G9" s="187" t="str">
        <x:v>Lower uptime reduces effective capacity</x:v>
      </x:c>
      <x:c r="H9" s="187" t="str">
        <x:v>Sobol</x:v>
      </x:c>
      <x:c r="I9" s="187" t="str">
        <x:v>What OEE is required for service target?</x:v>
      </x:c>
      <x:c r="J9" s="188" t="str">
        <x:v>Planned</x:v>
      </x:c>
    </x:row>
    <x:row r="10">
      <x:c r="A10" s="186" t="str">
        <x:v>Demand CV</x:v>
      </x:c>
      <x:c r="B10" s="204" t="n">
        <x:v>0.05</x:v>
      </x:c>
      <x:c r="C10" s="204" t="n">
        <x:v>0.15</x:v>
      </x:c>
      <x:c r="D10" s="204" t="n">
        <x:v>0.4</x:v>
      </x:c>
      <x:c r="E10" s="187" t="str">
        <x:v>Shortage-days</x:v>
      </x:c>
      <x:c r="F10" s="187" t="str">
        <x:v>Expiry</x:v>
      </x:c>
      <x:c r="G10" s="187" t="str">
        <x:v>Volatility raises both shortage and waste risk</x:v>
      </x:c>
      <x:c r="H10" s="187" t="str">
        <x:v>Sobol</x:v>
      </x:c>
      <x:c r="I10" s="187" t="str">
        <x:v>Does pooling dominate regionalization?</x:v>
      </x:c>
      <x:c r="J10" s="188" t="str">
        <x:v>Planned</x:v>
      </x:c>
    </x:row>
    <x:row r="11">
      <x:c r="A11" s="186" t="str">
        <x:v>Raw-material lead time</x:v>
      </x:c>
      <x:c r="B11" s="203" t="n">
        <x:v>14</x:v>
      </x:c>
      <x:c r="C11" s="203" t="n">
        <x:v>90</x:v>
      </x:c>
      <x:c r="D11" s="203" t="n">
        <x:v>300</x:v>
      </x:c>
      <x:c r="E11" s="187" t="str">
        <x:v>Response days</x:v>
      </x:c>
      <x:c r="F11" s="187" t="str">
        <x:v>Fill rate</x:v>
      </x:c>
      <x:c r="G11" s="187" t="str">
        <x:v>Long lead time neutralizes local fill-finish</x:v>
      </x:c>
      <x:c r="H11" s="187" t="str">
        <x:v>Sobol</x:v>
      </x:c>
      <x:c r="I11" s="187" t="str">
        <x:v>Does API concentration dominate every topology?</x:v>
      </x:c>
      <x:c r="J11" s="188" t="str">
        <x:v>Planned</x:v>
      </x:c>
    </x:row>
    <x:row r="12">
      <x:c r="A12" s="186" t="str">
        <x:v>Common-cause correlation</x:v>
      </x:c>
      <x:c r="B12" s="203" t="n">
        <x:v>0.1</x:v>
      </x:c>
      <x:c r="C12" s="203" t="n">
        <x:v>0.5</x:v>
      </x:c>
      <x:c r="D12" s="203" t="n">
        <x:v>0.9</x:v>
      </x:c>
      <x:c r="E12" s="187" t="str">
        <x:v>Shortage-days</x:v>
      </x:c>
      <x:c r="F12" s="187" t="str">
        <x:v>Probability meet demand</x:v>
      </x:c>
      <x:c r="G12" s="187" t="str">
        <x:v>Correlation weakens nominal redundancy</x:v>
      </x:c>
      <x:c r="H12" s="187" t="str">
        <x:v>Sobol</x:v>
      </x:c>
      <x:c r="I12" s="187" t="str">
        <x:v>How independent must nodes/suppliers be?</x:v>
      </x:c>
      <x:c r="J12" s="188" t="str">
        <x:v>Planned</x:v>
      </x:c>
    </x:row>
    <x:row r="13">
      <x:c r="A13" s="186" t="str">
        <x:v>Shelf life</x:v>
      </x:c>
      <x:c r="B13" s="203" t="n">
        <x:v>6</x:v>
      </x:c>
      <x:c r="C13" s="203" t="n">
        <x:v>24</x:v>
      </x:c>
      <x:c r="D13" s="203" t="n">
        <x:v>48</x:v>
      </x:c>
      <x:c r="E13" s="187" t="str">
        <x:v>Expiry cost</x:v>
      </x:c>
      <x:c r="F13" s="187" t="str">
        <x:v>Safety-stock feasibility</x:v>
      </x:c>
      <x:c r="G13" s="187" t="str">
        <x:v>Short shelf life limits inventory</x:v>
      </x:c>
      <x:c r="H13" s="187" t="str">
        <x:v>Scenario</x:v>
      </x:c>
      <x:c r="I13" s="187" t="str">
        <x:v>When does stockpiling stop dominating?</x:v>
      </x:c>
      <x:c r="J13" s="188" t="str">
        <x:v>Planned</x:v>
      </x:c>
    </x:row>
    <x:row r="14">
      <x:c r="A14" s="189" t="str">
        <x:v>Resilience contract volume</x:v>
      </x:c>
      <x:c r="B14" s="203" t="n">
        <x:v>0.25</x:v>
      </x:c>
      <x:c r="C14" s="203" t="n">
        <x:v>0.5</x:v>
      </x:c>
      <x:c r="D14" s="203" t="n">
        <x:v>0.9</x:v>
      </x:c>
      <x:c r="E14" s="190" t="str">
        <x:v>Break-even price</x:v>
      </x:c>
      <x:c r="F14" s="190" t="str">
        <x:v>Utilization</x:v>
      </x:c>
      <x:c r="G14" s="190" t="str">
        <x:v>Commitments de-risk fixed capacity</x:v>
      </x:c>
      <x:c r="H14" s="190" t="str">
        <x:v>Scenario</x:v>
      </x:c>
      <x:c r="I14" s="190" t="str">
        <x:v>What minimum take-or-pay share is required?</x:v>
      </x:c>
      <x:c r="J14" s="191" t="str">
        <x:v>Planned</x:v>
      </x:c>
    </x:row>
  </x:sheetData>
  <x:mergeCells>
    <x:mergeCell ref="A1:J1"/>
    <x:mergeCell ref="A2:J2"/>
  </x:mergeCells>
  <x:dataValidations count="1">
    <x:dataValidation type="list" sqref="J5:J14">
      <x:formula1>"Planned,Run,Reviewed"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9" hidden="0" customWidth="1"/>
    <x:col min="3" max="3" width="13" hidden="0" customWidth="1"/>
    <x:col min="4" max="4" width="15" hidden="0" customWidth="1"/>
    <x:col min="5" max="5" width="21" hidden="0" customWidth="1"/>
    <x:col min="6" max="6" width="22" hidden="0" customWidth="1"/>
    <x:col min="7" max="7" width="21" hidden="0" customWidth="1"/>
    <x:col min="8" max="8" width="25" hidden="0" customWidth="1"/>
    <x:col min="9" max="9" width="16" hidden="0" customWidth="1"/>
    <x:col min="10" max="10" width="31" hidden="0" customWidth="1"/>
  </x:cols>
  <x:sheetData>
    <x:row r="1" ht="30" customHeight="1">
      <x:c r="A1" s="230" t="str">
        <x:v>Decision dashboard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</x:row>
    <x:row r="2" ht="30" customHeight="1">
      <x:c r="A2" s="231" t="str">
        <x:v>Illustrative deterministic results only. Final claims must come from validated Monte Carlo outputs and regulatory gates.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</x:row>
    <x:row r="4">
      <x:c r="A4" s="182" t="str">
        <x:v>Product</x:v>
      </x:c>
      <x:c r="B4" s="182" t="str">
        <x:v>Strategy</x:v>
      </x:c>
      <x:c r="C4" s="182" t="str">
        <x:v>Cost/unit</x:v>
      </x:c>
      <x:c r="D4" s="182" t="str">
        <x:v>Response days</x:v>
      </x:c>
      <x:c r="E4" s="182" t="str">
        <x:v>Expected shortage-days</x:v>
      </x:c>
      <x:c r="F4" s="182" t="str">
        <x:v>Shortage-days avoided</x:v>
      </x:c>
      <x:c r="G4" s="182" t="str">
        <x:v>Incremental annual cost</x:v>
      </x:c>
      <x:c r="H4" s="182" t="str">
        <x:v>Cost per shortage-day avoided</x:v>
      </x:c>
      <x:c r="I4" s="182" t="str">
        <x:v>Approx. fill rate</x:v>
      </x:c>
      <x:c r="J4" s="182" t="str">
        <x:v>Interpretation</x:v>
      </x:c>
      <x:c r="K4" s="165"/>
      <x:c r="L4" s="165" t="str">
        <x:v>Strategy</x:v>
      </x:c>
      <x:c r="M4" s="165" t="str">
        <x:v>Product A cost/unit</x:v>
      </x:c>
    </x:row>
    <x:row r="5">
      <x:c r="A5" s="183" t="str">
        <x:f>'09_Deterministic'!A5</x:f>
        <x:v>Product A</x:v>
      </x:c>
      <x:c r="B5" s="184" t="str">
        <x:f>'09_Deterministic'!B5</x:f>
        <x:v>Status quo centralized</x:v>
      </x:c>
      <x:c r="C5" s="209" t="n">
        <x:f>'09_Deterministic'!T5</x:f>
        <x:v>10.927441524555027</x:v>
      </x:c>
      <x:c r="D5" s="210" t="n">
        <x:f>'09_Deterministic'!U5</x:f>
        <x:v>115</x:v>
      </x:c>
      <x:c r="E5" s="210" t="n">
        <x:f>'09_Deterministic'!V5</x:f>
        <x:v>17.45025</x:v>
      </x:c>
      <x:c r="F5" s="210" t="n">
        <x:f>MAX(0,'09_Deterministic'!V5-E5)</x:f>
        <x:v>0</x:v>
      </x:c>
      <x:c r="G5" s="208" t="n">
        <x:f>'09_Deterministic'!S5-'09_Deterministic'!S5</x:f>
        <x:v>0</x:v>
      </x:c>
      <x:c r="H5" s="208" t="e">
        <x:f>IF(F5&gt;0,G5/F5,NA())</x:f>
        <x:v>#N/A</x:v>
      </x:c>
      <x:c r="I5" s="207" t="n">
        <x:f>MAX(0,1-E5/365*'05_Assumptions'!C24)</x:f>
        <x:v>0.9832668835616438</x:v>
      </x:c>
      <x:c r="J5" s="185" t="str">
        <x:f>IF('08_Strategies'!L5&lt;&gt;"YES","Regulatory eligibility unresolved",IF(I5&lt;'05_Assumptions'!C9,"Below service target",IF(G5&lt;0,"Cost-saving candidate","Resilience premium required")))</x:f>
        <x:v>Below service target</x:v>
      </x:c>
      <x:c r="K5" s="165"/>
      <x:c r="L5" s="165" t="str">
        <x:v>Status quo</x:v>
      </x:c>
      <x:c r="M5" s="165" t="n">
        <x:f>C5</x:f>
        <x:v>10.927441524555027</x:v>
      </x:c>
    </x:row>
    <x:row r="6">
      <x:c r="A6" s="186" t="str">
        <x:f>'09_Deterministic'!A6</x:f>
        <x:v>Product A</x:v>
      </x:c>
      <x:c r="B6" s="187" t="str">
        <x:f>'09_Deterministic'!B6</x:f>
        <x:v>Additional safety stock</x:v>
      </x:c>
      <x:c r="C6" s="214" t="n">
        <x:f>'09_Deterministic'!T6</x:f>
        <x:v>11.028084521479824</x:v>
      </x:c>
      <x:c r="D6" s="215" t="n">
        <x:f>'09_Deterministic'!U6</x:f>
        <x:v>115</x:v>
      </x:c>
      <x:c r="E6" s="215" t="n">
        <x:f>'09_Deterministic'!V6</x:f>
        <x:v>17.45025</x:v>
      </x:c>
      <x:c r="F6" s="215" t="n">
        <x:f>MAX(0,'09_Deterministic'!V5-E6)</x:f>
        <x:v>0</x:v>
      </x:c>
      <x:c r="G6" s="213" t="n">
        <x:f>'09_Deterministic'!S6-'09_Deterministic'!S5</x:f>
        <x:v>120771.59630975686</x:v>
      </x:c>
      <x:c r="H6" s="213" t="e">
        <x:f>IF(F6&gt;0,G6/F6,NA())</x:f>
        <x:v>#N/A</x:v>
      </x:c>
      <x:c r="I6" s="212" t="n">
        <x:f>MAX(0,1-E6/365*'05_Assumptions'!C24)</x:f>
        <x:v>0.9832668835616438</x:v>
      </x:c>
      <x:c r="J6" s="188" t="str">
        <x:f>IF('08_Strategies'!L6&lt;&gt;"YES","Regulatory eligibility unresolved",IF(I6&lt;'05_Assumptions'!C9,"Below service target",IF(G6&lt;0,"Cost-saving candidate","Resilience premium required")))</x:f>
        <x:v>Below service target</x:v>
      </x:c>
      <x:c r="K6" s="165"/>
      <x:c r="L6" s="165" t="str">
        <x:v>Safety stock</x:v>
      </x:c>
      <x:c r="M6" s="165" t="n">
        <x:f>C6</x:f>
        <x:v>11.028084521479824</x:v>
      </x:c>
    </x:row>
    <x:row r="7">
      <x:c r="A7" s="186" t="str">
        <x:f>'09_Deterministic'!A7</x:f>
        <x:v>Product A</x:v>
      </x:c>
      <x:c r="B7" s="187" t="str">
        <x:f>'09_Deterministic'!B7</x:f>
        <x:v>Dual source + contracts</x:v>
      </x:c>
      <x:c r="C7" s="214" t="n">
        <x:f>'09_Deterministic'!T7</x:f>
        <x:v>20.289236790606655</x:v>
      </x:c>
      <x:c r="D7" s="215" t="n">
        <x:f>'09_Deterministic'!U7</x:f>
        <x:v>114</x:v>
      </x:c>
      <x:c r="E7" s="215" t="n">
        <x:f>'09_Deterministic'!V7</x:f>
        <x:v>1.4759999999999998</x:v>
      </x:c>
      <x:c r="F7" s="215" t="n">
        <x:f>MAX(0,'09_Deterministic'!V5-E7)</x:f>
        <x:v>15.974250000000001</x:v>
      </x:c>
      <x:c r="G7" s="213" t="n">
        <x:f>'09_Deterministic'!S7-'09_Deterministic'!S5</x:f>
        <x:v>11234154.319261955</x:v>
      </x:c>
      <x:c r="H7" s="213" t="n">
        <x:f>IF(F7&gt;0,G7/F7,NA())</x:f>
        <x:v>703266.4644200482</x:v>
      </x:c>
      <x:c r="I7" s="212" t="n">
        <x:f>MAX(0,1-E7/365*'05_Assumptions'!C24)</x:f>
        <x:v>0.9985846575342465</x:v>
      </x:c>
      <x:c r="J7" s="188" t="str">
        <x:f>IF('08_Strategies'!L7&lt;&gt;"YES","Regulatory eligibility unresolved",IF(I7&lt;'05_Assumptions'!C9,"Below service target",IF(G7&lt;0,"Cost-saving candidate","Resilience premium required")))</x:f>
        <x:v>Resilience premium required</x:v>
      </x:c>
      <x:c r="K7" s="165"/>
      <x:c r="L7" s="165" t="str">
        <x:v>Dual source</x:v>
      </x:c>
      <x:c r="M7" s="165" t="n">
        <x:f>C7</x:f>
        <x:v>20.289236790606655</x:v>
      </x:c>
    </x:row>
    <x:row r="8">
      <x:c r="A8" s="186" t="str">
        <x:f>'09_Deterministic'!A8</x:f>
        <x:v>Product A</x:v>
      </x:c>
      <x:c r="B8" s="187" t="str">
        <x:f>'09_Deterministic'!B8</x:f>
        <x:v>Reserved contract capacity</x:v>
      </x:c>
      <x:c r="C8" s="214" t="n">
        <x:f>'09_Deterministic'!T8</x:f>
        <x:v>20.839236790606655</x:v>
      </x:c>
      <x:c r="D8" s="215" t="n">
        <x:f>'09_Deterministic'!U8</x:f>
        <x:v>114</x:v>
      </x:c>
      <x:c r="E8" s="215" t="n">
        <x:f>'09_Deterministic'!V8</x:f>
        <x:v>0.09899999999999964</x:v>
      </x:c>
      <x:c r="F8" s="215" t="n">
        <x:f>MAX(0,'09_Deterministic'!V5-E8)</x:f>
        <x:v>17.35125</x:v>
      </x:c>
      <x:c r="G8" s="213" t="n">
        <x:f>'09_Deterministic'!S8-'09_Deterministic'!S5</x:f>
        <x:v>11894154.319261955</x:v>
      </x:c>
      <x:c r="H8" s="213" t="n">
        <x:f>IF(F8&gt;0,G8/F8,NA())</x:f>
        <x:v>685492.6486139013</x:v>
      </x:c>
      <x:c r="I8" s="212" t="n">
        <x:f>MAX(0,1-E8/365*'05_Assumptions'!C24)</x:f>
        <x:v>0.9999050684931506</x:v>
      </x:c>
      <x:c r="J8" s="188" t="str">
        <x:f>IF('08_Strategies'!L8&lt;&gt;"YES","Regulatory eligibility unresolved",IF(I8&lt;'05_Assumptions'!C9,"Below service target",IF(G8&lt;0,"Cost-saving candidate","Resilience premium required")))</x:f>
        <x:v>Resilience premium required</x:v>
      </x:c>
      <x:c r="K8" s="165"/>
      <x:c r="L8" s="165" t="str">
        <x:v>Contract capacity</x:v>
      </x:c>
      <x:c r="M8" s="165" t="n">
        <x:f>C8</x:f>
        <x:v>20.839236790606655</x:v>
      </x:c>
    </x:row>
    <x:row r="9">
      <x:c r="A9" s="186" t="str">
        <x:f>'09_Deterministic'!A9</x:f>
        <x:v>Product A</x:v>
      </x:c>
      <x:c r="B9" s="187" t="str">
        <x:f>'09_Deterministic'!B9</x:f>
        <x:v>Additional centralized capacity</x:v>
      </x:c>
      <x:c r="C9" s="214" t="n">
        <x:f>'09_Deterministic'!T9</x:f>
        <x:v>20.039236790606655</x:v>
      </x:c>
      <x:c r="D9" s="215" t="n">
        <x:f>'09_Deterministic'!U9</x:f>
        <x:v>115</x:v>
      </x:c>
      <x:c r="E9" s="215" t="n">
        <x:f>'09_Deterministic'!V9</x:f>
        <x:v>0</x:v>
      </x:c>
      <x:c r="F9" s="215" t="n">
        <x:f>MAX(0,'09_Deterministic'!V5-E9)</x:f>
        <x:v>17.45025</x:v>
      </x:c>
      <x:c r="G9" s="213" t="n">
        <x:f>'09_Deterministic'!S9-'09_Deterministic'!S5</x:f>
        <x:v>10934154.319261955</x:v>
      </x:c>
      <x:c r="H9" s="213" t="n">
        <x:f>IF(F9&gt;0,G9/F9,NA())</x:f>
        <x:v>626590.1244544894</x:v>
      </x:c>
      <x:c r="I9" s="212" t="n">
        <x:f>MAX(0,1-E9/365*'05_Assumptions'!C24)</x:f>
        <x:v>1</x:v>
      </x:c>
      <x:c r="J9" s="188" t="str">
        <x:f>IF('08_Strategies'!L9&lt;&gt;"YES","Regulatory eligibility unresolved",IF(I9&lt;'05_Assumptions'!C9,"Below service target",IF(G9&lt;0,"Cost-saving candidate","Resilience premium required")))</x:f>
        <x:v>Regulatory eligibility unresolved</x:v>
      </x:c>
      <x:c r="K9" s="165"/>
      <x:c r="L9" s="165" t="str">
        <x:v>Central expansion</x:v>
      </x:c>
      <x:c r="M9" s="165" t="n">
        <x:f>C9</x:f>
        <x:v>20.039236790606655</x:v>
      </x:c>
    </x:row>
    <x:row r="10">
      <x:c r="A10" s="186" t="str">
        <x:f>'09_Deterministic'!A10</x:f>
        <x:v>Product A</x:v>
      </x:c>
      <x:c r="B10" s="187" t="str">
        <x:f>'09_Deterministic'!B10</x:f>
        <x:v>Distributed regional nodes</x:v>
      </x:c>
      <x:c r="C10" s="214" t="n">
        <x:f>'09_Deterministic'!T10</x:f>
        <x:v>41.71250582424751</x:v>
      </x:c>
      <x:c r="D10" s="215" t="n">
        <x:f>'09_Deterministic'!U10</x:f>
        <x:v>112</x:v>
      </x:c>
      <x:c r="E10" s="215" t="n">
        <x:f>'09_Deterministic'!V10</x:f>
        <x:v>0</x:v>
      </x:c>
      <x:c r="F10" s="215" t="n">
        <x:f>MAX(0,'09_Deterministic'!V5-E10)</x:f>
        <x:v>17.45025</x:v>
      </x:c>
      <x:c r="G10" s="213" t="n">
        <x:f>'09_Deterministic'!S10-'09_Deterministic'!S5</x:f>
        <x:v>36942077.15963098</x:v>
      </x:c>
      <x:c r="H10" s="213" t="n">
        <x:f>IF(F10&gt;0,G10/F10,NA())</x:f>
        <x:v>2116994.1496328693</x:v>
      </x:c>
      <x:c r="I10" s="212" t="n">
        <x:f>MAX(0,1-E10/365*'05_Assumptions'!C24)</x:f>
        <x:v>1</x:v>
      </x:c>
      <x:c r="J10" s="188" t="str">
        <x:f>IF('08_Strategies'!L10&lt;&gt;"YES","Regulatory eligibility unresolved",IF(I10&lt;'05_Assumptions'!C9,"Below service target",IF(G10&lt;0,"Cost-saving candidate","Resilience premium required")))</x:f>
        <x:v>Regulatory eligibility unresolved</x:v>
      </x:c>
      <x:c r="K10" s="165"/>
      <x:c r="L10" s="165" t="str">
        <x:v>Distributed</x:v>
      </x:c>
      <x:c r="M10" s="165" t="n">
        <x:f>C10</x:f>
        <x:v>41.71250582424751</x:v>
      </x:c>
    </x:row>
    <x:row r="11">
      <x:c r="A11" s="186" t="str">
        <x:f>'09_Deterministic'!A11</x:f>
        <x:v>Product A</x:v>
      </x:c>
      <x:c r="B11" s="187" t="str">
        <x:f>'09_Deterministic'!B11</x:f>
        <x:v>Distributed + validated release assurance</x:v>
      </x:c>
      <x:c r="C11" s="214" t="n">
        <x:f>'09_Deterministic'!T11</x:f>
        <x:v>43.37917249091417</x:v>
      </x:c>
      <x:c r="D11" s="215" t="n">
        <x:f>'09_Deterministic'!U11</x:f>
        <x:v>106.4</x:v>
      </x:c>
      <x:c r="E11" s="215" t="n">
        <x:f>'09_Deterministic'!V11</x:f>
        <x:v>0</x:v>
      </x:c>
      <x:c r="F11" s="215" t="n">
        <x:f>MAX(0,'09_Deterministic'!V5-E11)</x:f>
        <x:v>17.45025</x:v>
      </x:c>
      <x:c r="G11" s="213" t="n">
        <x:f>'09_Deterministic'!S11-'09_Deterministic'!S5</x:f>
        <x:v>38942077.15963098</x:v>
      </x:c>
      <x:c r="H11" s="213" t="n">
        <x:f>IF(F11&gt;0,G11/F11,NA())</x:f>
        <x:v>2231605.6881495095</x:v>
      </x:c>
      <x:c r="I11" s="212" t="n">
        <x:f>MAX(0,1-E11/365*'05_Assumptions'!C24)</x:f>
        <x:v>1</x:v>
      </x:c>
      <x:c r="J11" s="188" t="str">
        <x:f>IF('08_Strategies'!L11&lt;&gt;"YES","Regulatory eligibility unresolved",IF(I11&lt;'05_Assumptions'!C9,"Below service target",IF(G11&lt;0,"Cost-saving candidate","Resilience premium required")))</x:f>
        <x:v>Regulatory eligibility unresolved</x:v>
      </x:c>
      <x:c r="K11" s="165"/>
      <x:c r="L11" s="165" t="str">
        <x:v>Distributed + RA</x:v>
      </x:c>
      <x:c r="M11" s="165" t="n">
        <x:f>C11</x:f>
        <x:v>43.37917249091417</x:v>
      </x:c>
    </x:row>
    <x:row r="12">
      <x:c r="A12" s="186" t="str">
        <x:f>'09_Deterministic'!A12</x:f>
        <x:v>Product A</x:v>
      </x:c>
      <x:c r="B12" s="187" t="str">
        <x:f>'09_Deterministic'!B12</x:f>
        <x:v>503B shortage response</x:v>
      </x:c>
      <x:c r="C12" s="214" t="n">
        <x:f>'09_Deterministic'!T12</x:f>
        <x:v>20.61577485788836</x:v>
      </x:c>
      <x:c r="D12" s="215" t="n">
        <x:f>'09_Deterministic'!U12</x:f>
        <x:v>113</x:v>
      </x:c>
      <x:c r="E12" s="215" t="n">
        <x:f>'09_Deterministic'!V12</x:f>
        <x:v>2.164500000000004</x:v>
      </x:c>
      <x:c r="F12" s="215" t="n">
        <x:f>MAX(0,'09_Deterministic'!V5-E12)</x:f>
        <x:v>15.285749999999997</x:v>
      </x:c>
      <x:c r="G12" s="213" t="n">
        <x:f>'09_Deterministic'!S12-'09_Deterministic'!S5</x:f>
        <x:v>11626000.000000002</x:v>
      </x:c>
      <x:c r="H12" s="213" t="n">
        <x:f>IF(F12&gt;0,G12/F12,NA())</x:f>
        <x:v>760577.6622017241</x:v>
      </x:c>
      <x:c r="I12" s="212" t="n">
        <x:f>MAX(0,1-E12/365*'05_Assumptions'!C24)</x:f>
        <x:v>0.9979244520547945</x:v>
      </x:c>
      <x:c r="J12" s="188" t="str">
        <x:f>IF('08_Strategies'!L12&lt;&gt;"YES","Regulatory eligibility unresolved",IF(I12&lt;'05_Assumptions'!C9,"Below service target",IF(G12&lt;0,"Cost-saving candidate","Resilience premium required")))</x:f>
        <x:v>Regulatory eligibility unresolved</x:v>
      </x:c>
      <x:c r="K12" s="165"/>
      <x:c r="L12" s="165" t="str">
        <x:v>503B</x:v>
      </x:c>
      <x:c r="M12" s="165" t="n">
        <x:f>C12</x:f>
        <x:v>20.61577485788836</x:v>
      </x:c>
    </x:row>
    <x:row r="13">
      <x:c r="A13" s="186" t="str">
        <x:f>'09_Deterministic'!A13</x:f>
        <x:v>Product B</x:v>
      </x:c>
      <x:c r="B13" s="187" t="str">
        <x:f>'09_Deterministic'!B13</x:f>
        <x:v>Status quo centralized</x:v>
      </x:c>
      <x:c r="C13" s="214" t="n">
        <x:f>'09_Deterministic'!T13</x:f>
        <x:v>13.427339794365233</x:v>
      </x:c>
      <x:c r="D13" s="215" t="n">
        <x:f>'09_Deterministic'!U13</x:f>
        <x:v>113</x:v>
      </x:c>
      <x:c r="E13" s="215" t="n">
        <x:f>'09_Deterministic'!V13</x:f>
        <x:v>11.720400000000003</x:v>
      </x:c>
      <x:c r="F13" s="215" t="n">
        <x:f>MAX(0,'09_Deterministic'!V13-E13)</x:f>
        <x:v>0</x:v>
      </x:c>
      <x:c r="G13" s="213" t="n">
        <x:f>'09_Deterministic'!S13-'09_Deterministic'!S13</x:f>
        <x:v>0</x:v>
      </x:c>
      <x:c r="H13" s="213" t="e">
        <x:f>IF(F13&gt;0,G13/F13,NA())</x:f>
        <x:v>#N/A</x:v>
      </x:c>
      <x:c r="I13" s="212" t="n">
        <x:f>MAX(0,1-E13/365*'05_Assumptions'!C24)</x:f>
        <x:v>0.9887612602739726</x:v>
      </x:c>
      <x:c r="J13" s="188" t="str">
        <x:f>IF('08_Strategies'!L5&lt;&gt;"YES","Regulatory eligibility unresolved",IF(I13&lt;'05_Assumptions'!C9,"Below service target",IF(G13&lt;0,"Cost-saving candidate","Resilience premium required")))</x:f>
        <x:v>Below service target</x:v>
      </x:c>
      <x:c r="K13" s="165"/>
      <x:c r="L13" s="165"/>
      <x:c r="M13" s="165"/>
    </x:row>
    <x:row r="14">
      <x:c r="A14" s="186" t="str">
        <x:f>'09_Deterministic'!A14</x:f>
        <x:v>Product B</x:v>
      </x:c>
      <x:c r="B14" s="187" t="str">
        <x:f>'09_Deterministic'!B14</x:f>
        <x:v>Additional safety stock</x:v>
      </x:c>
      <x:c r="C14" s="214" t="n">
        <x:f>'09_Deterministic'!T14</x:f>
        <x:v>13.523789333084832</x:v>
      </x:c>
      <x:c r="D14" s="215" t="n">
        <x:f>'09_Deterministic'!U14</x:f>
        <x:v>113</x:v>
      </x:c>
      <x:c r="E14" s="215" t="n">
        <x:f>'09_Deterministic'!V14</x:f>
        <x:v>11.720400000000003</x:v>
      </x:c>
      <x:c r="F14" s="215" t="n">
        <x:f>MAX(0,'09_Deterministic'!V13-E14)</x:f>
        <x:v>0</x:v>
      </x:c>
      <x:c r="G14" s="213" t="n">
        <x:f>'09_Deterministic'!S14-'09_Deterministic'!S13</x:f>
        <x:v>86804.58484763838</x:v>
      </x:c>
      <x:c r="H14" s="213" t="e">
        <x:f>IF(F14&gt;0,G14/F14,NA())</x:f>
        <x:v>#N/A</x:v>
      </x:c>
      <x:c r="I14" s="212" t="n">
        <x:f>MAX(0,1-E14/365*'05_Assumptions'!C24)</x:f>
        <x:v>0.9887612602739726</x:v>
      </x:c>
      <x:c r="J14" s="188" t="str">
        <x:f>IF('08_Strategies'!L6&lt;&gt;"YES","Regulatory eligibility unresolved",IF(I14&lt;'05_Assumptions'!C9,"Below service target",IF(G14&lt;0,"Cost-saving candidate","Resilience premium required")))</x:f>
        <x:v>Below service target</x:v>
      </x:c>
      <x:c r="K14" s="165"/>
      <x:c r="L14" s="165"/>
      <x:c r="M14" s="165"/>
    </x:row>
    <x:row r="15">
      <x:c r="A15" s="186" t="str">
        <x:f>'09_Deterministic'!A15</x:f>
        <x:v>Product B</x:v>
      </x:c>
      <x:c r="B15" s="187" t="str">
        <x:f>'09_Deterministic'!B15</x:f>
        <x:v>Dual source + contracts</x:v>
      </x:c>
      <x:c r="C15" s="214" t="n">
        <x:f>'09_Deterministic'!T15</x:f>
        <x:v>25.90218525766471</x:v>
      </x:c>
      <x:c r="D15" s="215" t="n">
        <x:f>'09_Deterministic'!U15</x:f>
        <x:v>112</x:v>
      </x:c>
      <x:c r="E15" s="215" t="n">
        <x:f>'09_Deterministic'!V15</x:f>
        <x:v>0</x:v>
      </x:c>
      <x:c r="F15" s="215" t="n">
        <x:f>MAX(0,'09_Deterministic'!V13-E15)</x:f>
        <x:v>11.720400000000003</x:v>
      </x:c>
      <x:c r="G15" s="213" t="n">
        <x:f>'09_Deterministic'!S15-'09_Deterministic'!S13</x:f>
        <x:v>11227360.916969527</x:v>
      </x:c>
      <x:c r="H15" s="213" t="n">
        <x:f>IF(F15&gt;0,G15/F15,NA())</x:f>
        <x:v>957933.2545791545</x:v>
      </x:c>
      <x:c r="I15" s="212" t="n">
        <x:f>MAX(0,1-E15/365*'05_Assumptions'!C24)</x:f>
        <x:v>1</x:v>
      </x:c>
      <x:c r="J15" s="188" t="str">
        <x:f>IF('08_Strategies'!L7&lt;&gt;"YES","Regulatory eligibility unresolved",IF(I15&lt;'05_Assumptions'!C9,"Below service target",IF(G15&lt;0,"Cost-saving candidate","Resilience premium required")))</x:f>
        <x:v>Resilience premium required</x:v>
      </x:c>
      <x:c r="K15" s="165"/>
      <x:c r="L15" s="165"/>
      <x:c r="M15" s="165"/>
    </x:row>
    <x:row r="16">
      <x:c r="A16" s="186" t="str">
        <x:f>'09_Deterministic'!A16</x:f>
        <x:v>Product B</x:v>
      </x:c>
      <x:c r="B16" s="187" t="str">
        <x:f>'09_Deterministic'!B16</x:f>
        <x:v>Reserved contract capacity</x:v>
      </x:c>
      <x:c r="C16" s="214" t="n">
        <x:f>'09_Deterministic'!T16</x:f>
        <x:v>26.523018590998042</x:v>
      </x:c>
      <x:c r="D16" s="215" t="n">
        <x:f>'09_Deterministic'!U16</x:f>
        <x:v>112</x:v>
      </x:c>
      <x:c r="E16" s="215" t="n">
        <x:f>'09_Deterministic'!V16</x:f>
        <x:v>0</x:v>
      </x:c>
      <x:c r="F16" s="215" t="n">
        <x:f>MAX(0,'09_Deterministic'!V13-E16)</x:f>
        <x:v>11.720400000000003</x:v>
      </x:c>
      <x:c r="G16" s="213" t="n">
        <x:f>'09_Deterministic'!S16-'09_Deterministic'!S13</x:f>
        <x:v>11786110.916969527</x:v>
      </x:c>
      <x:c r="H16" s="213" t="n">
        <x:f>IF(F16&gt;0,G16/F16,NA())</x:f>
        <x:v>1005606.5421802603</x:v>
      </x:c>
      <x:c r="I16" s="212" t="n">
        <x:f>MAX(0,1-E16/365*'05_Assumptions'!C24)</x:f>
        <x:v>1</x:v>
      </x:c>
      <x:c r="J16" s="188" t="str">
        <x:f>IF('08_Strategies'!L8&lt;&gt;"YES","Regulatory eligibility unresolved",IF(I16&lt;'05_Assumptions'!C9,"Below service target",IF(G16&lt;0,"Cost-saving candidate","Resilience premium required")))</x:f>
        <x:v>Resilience premium required</x:v>
      </x:c>
      <x:c r="K16" s="165"/>
      <x:c r="L16" s="165"/>
      <x:c r="M16" s="165"/>
    </x:row>
    <x:row r="17">
      <x:c r="A17" s="186" t="str">
        <x:f>'09_Deterministic'!A17</x:f>
        <x:v>Product B</x:v>
      </x:c>
      <x:c r="B17" s="187" t="str">
        <x:f>'09_Deterministic'!B17</x:f>
        <x:v>Additional centralized capacity</x:v>
      </x:c>
      <x:c r="C17" s="214" t="n">
        <x:f>'09_Deterministic'!T17</x:f>
        <x:v>25.568851924331373</x:v>
      </x:c>
      <x:c r="D17" s="215" t="n">
        <x:f>'09_Deterministic'!U17</x:f>
        <x:v>113</x:v>
      </x:c>
      <x:c r="E17" s="215" t="n">
        <x:f>'09_Deterministic'!V17</x:f>
        <x:v>0</x:v>
      </x:c>
      <x:c r="F17" s="215" t="n">
        <x:f>MAX(0,'09_Deterministic'!V13-E17)</x:f>
        <x:v>11.720400000000003</x:v>
      </x:c>
      <x:c r="G17" s="213" t="n">
        <x:f>'09_Deterministic'!S17-'09_Deterministic'!S13</x:f>
        <x:v>10927360.916969527</x:v>
      </x:c>
      <x:c r="H17" s="213" t="n">
        <x:f>IF(F17&gt;0,G17/F17,NA())</x:f>
        <x:v>932336.8585517153</x:v>
      </x:c>
      <x:c r="I17" s="212" t="n">
        <x:f>MAX(0,1-E17/365*'05_Assumptions'!C24)</x:f>
        <x:v>1</x:v>
      </x:c>
      <x:c r="J17" s="188" t="str">
        <x:f>IF('08_Strategies'!L9&lt;&gt;"YES","Regulatory eligibility unresolved",IF(I17&lt;'05_Assumptions'!C9,"Below service target",IF(G17&lt;0,"Cost-saving candidate","Resilience premium required")))</x:f>
        <x:v>Regulatory eligibility unresolved</x:v>
      </x:c>
      <x:c r="K17" s="165"/>
      <x:c r="L17" s="165"/>
      <x:c r="M17" s="165"/>
    </x:row>
    <x:row r="18">
      <x:c r="A18" s="186" t="str">
        <x:f>'09_Deterministic'!A18</x:f>
        <x:v>Product B</x:v>
      </x:c>
      <x:c r="B18" s="187" t="str">
        <x:f>'09_Deterministic'!B18</x:f>
        <x:v>Distributed regional nodes</x:v>
      </x:c>
      <x:c r="C18" s="214" t="n">
        <x:f>'09_Deterministic'!T18</x:f>
        <x:v>54.47031808157053</x:v>
      </x:c>
      <x:c r="D18" s="215" t="n">
        <x:f>'09_Deterministic'!U18</x:f>
        <x:v>110</x:v>
      </x:c>
      <x:c r="E18" s="215" t="n">
        <x:f>'09_Deterministic'!V18</x:f>
        <x:v>0</x:v>
      </x:c>
      <x:c r="F18" s="215" t="n">
        <x:f>MAX(0,'09_Deterministic'!V13-E18)</x:f>
        <x:v>11.720400000000003</x:v>
      </x:c>
      <x:c r="G18" s="213" t="n">
        <x:f>'09_Deterministic'!S18-'09_Deterministic'!S13</x:f>
        <x:v>36938680.45848477</x:v>
      </x:c>
      <x:c r="H18" s="213" t="n">
        <x:f>IF(F18&gt;0,G18/F18,NA())</x:f>
        <x:v>3151656.979154701</x:v>
      </x:c>
      <x:c r="I18" s="212" t="n">
        <x:f>MAX(0,1-E18/365*'05_Assumptions'!C24)</x:f>
        <x:v>1</x:v>
      </x:c>
      <x:c r="J18" s="188" t="str">
        <x:f>IF('08_Strategies'!L10&lt;&gt;"YES","Regulatory eligibility unresolved",IF(I18&lt;'05_Assumptions'!C9,"Below service target",IF(G18&lt;0,"Cost-saving candidate","Resilience premium required")))</x:f>
        <x:v>Regulatory eligibility unresolved</x:v>
      </x:c>
      <x:c r="K18" s="165"/>
      <x:c r="L18" s="165"/>
      <x:c r="M18" s="165"/>
    </x:row>
    <x:row r="19">
      <x:c r="A19" s="186" t="str">
        <x:f>'09_Deterministic'!A19</x:f>
        <x:v>Product B</x:v>
      </x:c>
      <x:c r="B19" s="187" t="str">
        <x:f>'09_Deterministic'!B19</x:f>
        <x:v>Distributed + validated release assurance</x:v>
      </x:c>
      <x:c r="C19" s="214" t="n">
        <x:f>'09_Deterministic'!T19</x:f>
        <x:v>56.692540303792754</x:v>
      </x:c>
      <x:c r="D19" s="215" t="n">
        <x:f>'09_Deterministic'!U19</x:f>
        <x:v>105.2</x:v>
      </x:c>
      <x:c r="E19" s="215" t="n">
        <x:f>'09_Deterministic'!V19</x:f>
        <x:v>0</x:v>
      </x:c>
      <x:c r="F19" s="215" t="n">
        <x:f>MAX(0,'09_Deterministic'!V13-E19)</x:f>
        <x:v>11.720400000000003</x:v>
      </x:c>
      <x:c r="G19" s="213" t="n">
        <x:f>'09_Deterministic'!S19-'09_Deterministic'!S13</x:f>
        <x:v>38938680.45848477</x:v>
      </x:c>
      <x:c r="H19" s="213" t="n">
        <x:f>IF(F19&gt;0,G19/F19,NA())</x:f>
        <x:v>3322299.61933763</x:v>
      </x:c>
      <x:c r="I19" s="212" t="n">
        <x:f>MAX(0,1-E19/365*'05_Assumptions'!C24)</x:f>
        <x:v>1</x:v>
      </x:c>
      <x:c r="J19" s="188" t="str">
        <x:f>IF('08_Strategies'!L11&lt;&gt;"YES","Regulatory eligibility unresolved",IF(I19&lt;'05_Assumptions'!C9,"Below service target",IF(G19&lt;0,"Cost-saving candidate","Resilience premium required")))</x:f>
        <x:v>Regulatory eligibility unresolved</x:v>
      </x:c>
      <x:c r="K19" s="165"/>
      <x:c r="L19" s="165"/>
      <x:c r="M19" s="165"/>
    </x:row>
    <x:row r="20">
      <x:c r="A20" s="189" t="str">
        <x:f>'09_Deterministic'!A20</x:f>
        <x:v>Product B</x:v>
      </x:c>
      <x:c r="B20" s="190" t="str">
        <x:f>'09_Deterministic'!B20</x:f>
        <x:v>503B shortage response</x:v>
      </x:c>
      <x:c r="C20" s="219" t="n">
        <x:f>'09_Deterministic'!T20</x:f>
        <x:v>26.27761757214301</x:v>
      </x:c>
      <x:c r="D20" s="220" t="n">
        <x:f>'09_Deterministic'!U20</x:f>
        <x:v>111</x:v>
      </x:c>
      <x:c r="E20" s="220" t="n">
        <x:f>'09_Deterministic'!V20</x:f>
        <x:v>0</x:v>
      </x:c>
      <x:c r="F20" s="220" t="n">
        <x:f>MAX(0,'09_Deterministic'!V13-E20)</x:f>
        <x:v>11.720400000000003</x:v>
      </x:c>
      <x:c r="G20" s="218" t="n">
        <x:f>'09_Deterministic'!S20-'09_Deterministic'!S13</x:f>
        <x:v>11565250</x:v>
      </x:c>
      <x:c r="H20" s="218" t="n">
        <x:f>IF(F20&gt;0,G20/F20,NA())</x:f>
        <x:v>986762.397187809</x:v>
      </x:c>
      <x:c r="I20" s="217" t="n">
        <x:f>MAX(0,1-E20/365*'05_Assumptions'!C24)</x:f>
        <x:v>1</x:v>
      </x:c>
      <x:c r="J20" s="191" t="str">
        <x:f>IF('08_Strategies'!L12&lt;&gt;"YES","Regulatory eligibility unresolved",IF(I20&lt;'05_Assumptions'!C9,"Below service target",IF(G20&lt;0,"Cost-saving candidate","Resilience premium required")))</x:f>
        <x:v>Regulatory eligibility unresolved</x:v>
      </x:c>
      <x:c r="K20" s="165"/>
      <x:c r="L20" s="165"/>
      <x:c r="M20" s="165"/>
    </x:row>
  </x:sheetData>
  <x:mergeCells>
    <x:mergeCell ref="A1:J1"/>
    <x:mergeCell ref="A2:J2"/>
  </x:mergeCells>
  <x:conditionalFormatting sqref="I5:I20">
    <x:cfRule type="colorScale" priority="1">
      <x:colorScale>
        <x:cfvo type="min"/>
        <x:cfvo type="percentile" val="50"/>
        <x:cfvo type="max"/>
        <x:color rgb="FFFBE1E3"/>
        <x:color rgb="FFFFF4CC"/>
        <x:color rgb="FFDDF2E5"/>
      </x:colorScale>
    </x:cfRule>
  </x:conditionalFormatting>
  <x:pageMargins left="0.7" right="0.7" top="0.75" bottom="0.75" header="0.3" footer="0.3"/>
  <x:drawing xmlns:r="http://schemas.openxmlformats.org/officeDocument/2006/relationships" r:id="R0013ffcd99fe494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5" hidden="0" customWidth="1"/>
    <x:col min="4" max="4" width="19" hidden="0" customWidth="1"/>
    <x:col min="5" max="5" width="13" hidden="0" customWidth="1"/>
    <x:col min="6" max="6" width="16" hidden="0" customWidth="1"/>
    <x:col min="7" max="7" width="21" hidden="0" customWidth="1"/>
    <x:col min="8" max="8" width="47" hidden="0" customWidth="1"/>
  </x:cols>
  <x:sheetData>
    <x:row r="1" ht="30" customHeight="1">
      <x:c r="A1" s="230" t="str">
        <x:v>Model checks</x:v>
      </x:c>
      <x:c r="B1" s="165"/>
      <x:c r="C1" s="165"/>
      <x:c r="D1" s="165"/>
      <x:c r="E1" s="165"/>
      <x:c r="F1" s="165"/>
      <x:c r="G1" s="165"/>
      <x:c r="H1" s="165"/>
    </x:row>
    <x:row r="2" ht="30" customHeight="1">
      <x:c r="A2" s="231" t="str">
        <x:v>A publishable model must show all critical checks as OK or explain each unresolved limitation.</x:v>
      </x:c>
      <x:c r="B2" s="165"/>
      <x:c r="C2" s="165"/>
      <x:c r="D2" s="165"/>
      <x:c r="E2" s="165"/>
      <x:c r="F2" s="165"/>
      <x:c r="G2" s="165"/>
      <x:c r="H2" s="165"/>
    </x:row>
    <x:row r="3">
      <x:c r="A3" s="165"/>
      <x:c r="B3" s="165"/>
      <x:c r="C3" s="165"/>
      <x:c r="D3" s="165"/>
      <x:c r="E3" s="165"/>
      <x:c r="F3" s="165"/>
      <x:c r="G3" s="165"/>
      <x:c r="H3" s="165"/>
    </x:row>
    <x:row r="4">
      <x:c r="A4" s="182" t="str">
        <x:v>Check</x:v>
      </x:c>
      <x:c r="B4" s="182" t="str">
        <x:v>Actual</x:v>
      </x:c>
      <x:c r="C4" s="182" t="str">
        <x:v>Expected</x:v>
      </x:c>
      <x:c r="D4" s="182" t="str">
        <x:v>Difference / count</x:v>
      </x:c>
      <x:c r="E4" s="182" t="str">
        <x:v>Tolerance</x:v>
      </x:c>
      <x:c r="F4" s="182" t="str">
        <x:v>Status</x:v>
      </x:c>
      <x:c r="G4" s="182" t="str">
        <x:v>Fix location</x:v>
      </x:c>
      <x:c r="H4" s="182" t="str">
        <x:v>Notes</x:v>
      </x:c>
    </x:row>
    <x:row r="5">
      <x:c r="A5" s="183" t="str">
        <x:v>Regulatory gates unresolved</x:v>
      </x:c>
      <x:c r="B5" s="184" t="n">
        <x:f>COUNTIF('04_Reg_Gates'!E5:E19,"UNCERTAIN")+COUNTIF('04_Reg_Gates'!E5:E19,"FAIL")</x:f>
        <x:v>15</x:v>
      </x:c>
      <x:c r="C5" s="184" t="n">
        <x:v>0</x:v>
      </x:c>
      <x:c r="D5" s="184" t="n">
        <x:f>B5-C5</x:f>
        <x:v>15</x:v>
      </x:c>
      <x:c r="E5" s="184" t="n">
        <x:v>0</x:v>
      </x:c>
      <x:c r="F5" s="184" t="str">
        <x:f>IF(ABS(D5)&lt;=E5,"OK","ATTENTION")</x:f>
        <x:v>ATTENTION</x:v>
      </x:c>
      <x:c r="G5" s="184" t="str">
        <x:v>04_Reg_Gates</x:v>
      </x:c>
      <x:c r="H5" s="185" t="str">
        <x:v>No feasibility conclusion while material gates remain uncertain</x:v>
      </x:c>
    </x:row>
    <x:row r="6">
      <x:c r="A6" s="186" t="str">
        <x:v>Product A illustrative inputs</x:v>
      </x:c>
      <x:c r="B6" s="187" t="n">
        <x:f>COUNTIF('06_Product_A'!H5:H24,"Illustrative")+COUNTIF('06_Product_A'!H5:H24,"Missing")</x:f>
        <x:v>20</x:v>
      </x:c>
      <x:c r="C6" s="187" t="n">
        <x:v>0</x:v>
      </x:c>
      <x:c r="D6" s="187" t="n">
        <x:f>B6-C6</x:f>
        <x:v>20</x:v>
      </x:c>
      <x:c r="E6" s="187" t="n">
        <x:v>0</x:v>
      </x:c>
      <x:c r="F6" s="187" t="str">
        <x:f>IF(ABS(D6)&lt;=E6,"OK","ATTENTION")</x:f>
        <x:v>ATTENTION</x:v>
      </x:c>
      <x:c r="G6" s="187" t="str">
        <x:v>06_Product_A</x:v>
      </x:c>
      <x:c r="H6" s="188" t="str">
        <x:v>Replace or expert-validate</x:v>
      </x:c>
    </x:row>
    <x:row r="7">
      <x:c r="A7" s="186" t="str">
        <x:v>Product B illustrative inputs</x:v>
      </x:c>
      <x:c r="B7" s="187" t="n">
        <x:f>COUNTIF('07_Product_B'!H5:H24,"Illustrative")+COUNTIF('07_Product_B'!H5:H24,"Missing")</x:f>
        <x:v>20</x:v>
      </x:c>
      <x:c r="C7" s="187" t="n">
        <x:v>0</x:v>
      </x:c>
      <x:c r="D7" s="187" t="n">
        <x:f>B7-C7</x:f>
        <x:v>20</x:v>
      </x:c>
      <x:c r="E7" s="187" t="n">
        <x:v>0</x:v>
      </x:c>
      <x:c r="F7" s="187" t="str">
        <x:f>IF(ABS(D7)&lt;=E7,"OK","ATTENTION")</x:f>
        <x:v>ATTENTION</x:v>
      </x:c>
      <x:c r="G7" s="187" t="str">
        <x:v>07_Product_B</x:v>
      </x:c>
      <x:c r="H7" s="188" t="str">
        <x:v>Replace or expert-validate</x:v>
      </x:c>
    </x:row>
    <x:row r="8">
      <x:c r="A8" s="186" t="str">
        <x:v>MC parameters missing</x:v>
      </x:c>
      <x:c r="B8" s="187" t="n">
        <x:f>COUNTIF('10_MC_Parameters'!K5:K18,"Missing")+COUNTIF('10_MC_Parameters'!K5:K18,"Illustrative")</x:f>
        <x:v>14</x:v>
      </x:c>
      <x:c r="C8" s="187" t="n">
        <x:v>0</x:v>
      </x:c>
      <x:c r="D8" s="187" t="n">
        <x:f>B8-C8</x:f>
        <x:v>14</x:v>
      </x:c>
      <x:c r="E8" s="187" t="n">
        <x:v>0</x:v>
      </x:c>
      <x:c r="F8" s="187" t="str">
        <x:f>IF(ABS(D8)&lt;=E8,"OK","ATTENTION")</x:f>
        <x:v>ATTENTION</x:v>
      </x:c>
      <x:c r="G8" s="187" t="str">
        <x:v>10_MC_Parameters</x:v>
      </x:c>
      <x:c r="H8" s="188" t="str">
        <x:v>Source/calibrate before simulation</x:v>
      </x:c>
    </x:row>
    <x:row r="9">
      <x:c r="A9" s="186" t="str">
        <x:v>Capacity positive across strategies</x:v>
      </x:c>
      <x:c r="B9" s="187" t="n">
        <x:f>COUNTIF('09_Deterministic'!I5:I20,"&gt;0")</x:f>
        <x:v>16</x:v>
      </x:c>
      <x:c r="C9" s="187" t="n">
        <x:v>16</x:v>
      </x:c>
      <x:c r="D9" s="187" t="n">
        <x:f>B9-C9</x:f>
        <x:v>0</x:v>
      </x:c>
      <x:c r="E9" s="187" t="n">
        <x:v>0</x:v>
      </x:c>
      <x:c r="F9" s="187" t="str">
        <x:f>IF(ABS(D9)&lt;=E9,"OK","ATTENTION")</x:f>
        <x:v>OK</x:v>
      </x:c>
      <x:c r="G9" s="187" t="str">
        <x:v>09_Deterministic</x:v>
      </x:c>
      <x:c r="H9" s="188" t="str">
        <x:v>All capacities must be &gt;0</x:v>
      </x:c>
    </x:row>
    <x:row r="10">
      <x:c r="A10" s="186" t="str">
        <x:v>Utilization &lt;= 100% across strategies</x:v>
      </x:c>
      <x:c r="B10" s="187" t="n">
        <x:f>COUNTIF('09_Deterministic'!J5:J20,"&lt;=1")</x:f>
        <x:v>14</x:v>
      </x:c>
      <x:c r="C10" s="187" t="n">
        <x:v>16</x:v>
      </x:c>
      <x:c r="D10" s="187" t="n">
        <x:f>B10-C10</x:f>
        <x:v>-2</x:v>
      </x:c>
      <x:c r="E10" s="187" t="n">
        <x:v>0</x:v>
      </x:c>
      <x:c r="F10" s="187" t="str">
        <x:f>IF(ABS(D10)&lt;=E10,"OK","ATTENTION")</x:f>
        <x:v>ATTENTION</x:v>
      </x:c>
      <x:c r="G10" s="187" t="str">
        <x:v>09_Deterministic</x:v>
      </x:c>
      <x:c r="H10" s="188" t="str">
        <x:v>Screen fails if planned demand exceeds saleable capacity</x:v>
      </x:c>
    </x:row>
    <x:row r="11">
      <x:c r="A11" s="186" t="str">
        <x:v>Cost/unit positive</x:v>
      </x:c>
      <x:c r="B11" s="187" t="n">
        <x:f>COUNTIF('09_Deterministic'!T5:T20,"&gt;0")</x:f>
        <x:v>16</x:v>
      </x:c>
      <x:c r="C11" s="187" t="n">
        <x:v>16</x:v>
      </x:c>
      <x:c r="D11" s="187" t="n">
        <x:f>B11-C11</x:f>
        <x:v>0</x:v>
      </x:c>
      <x:c r="E11" s="187" t="n">
        <x:v>0</x:v>
      </x:c>
      <x:c r="F11" s="187" t="str">
        <x:f>IF(ABS(D11)&lt;=E11,"OK","ATTENTION")</x:f>
        <x:v>OK</x:v>
      </x:c>
      <x:c r="G11" s="187" t="str">
        <x:v>09_Deterministic</x:v>
      </x:c>
      <x:c r="H11" s="188" t="str">
        <x:v>All costs must be positive</x:v>
      </x:c>
    </x:row>
    <x:row r="12">
      <x:c r="A12" s="186" t="str">
        <x:v>Source register active</x:v>
      </x:c>
      <x:c r="B12" s="187" t="n">
        <x:f>COUNTIF('02_Sources'!I5:I29,"Use")</x:f>
        <x:v>23</x:v>
      </x:c>
      <x:c r="C12" s="187" t="n">
        <x:v>20</x:v>
      </x:c>
      <x:c r="D12" s="187" t="n">
        <x:f>B12-C12</x:f>
        <x:v>3</x:v>
      </x:c>
      <x:c r="E12" s="187" t="n">
        <x:v>0</x:v>
      </x:c>
      <x:c r="F12" s="187" t="str">
        <x:f>IF(B12&gt;=C12,"OK","ATTENTION")</x:f>
        <x:v>OK</x:v>
      </x:c>
      <x:c r="G12" s="187" t="str">
        <x:v>02_Sources</x:v>
      </x:c>
      <x:c r="H12" s="188" t="str">
        <x:v>Minimum active-source threshold</x:v>
      </x:c>
    </x:row>
    <x:row r="13">
      <x:c r="A13" s="189" t="str">
        <x:v>Independent expert reviews complete</x:v>
      </x:c>
      <x:c r="B13" s="190" t="n">
        <x:f>COUNTIF('15_Revision_Log'!G5:G104,"Accepted")</x:f>
        <x:v>0</x:v>
      </x:c>
      <x:c r="C13" s="190" t="n">
        <x:v>3</x:v>
      </x:c>
      <x:c r="D13" s="190" t="n">
        <x:f>B13-C13</x:f>
        <x:v>-3</x:v>
      </x:c>
      <x:c r="E13" s="190" t="n">
        <x:v>0</x:v>
      </x:c>
      <x:c r="F13" s="190" t="str">
        <x:f>IF(ABS(D13)&lt;=E13,"OK","ATTENTION")</x:f>
        <x:v>ATTENTION</x:v>
      </x:c>
      <x:c r="G13" s="190" t="str">
        <x:v>15_Revision_Log</x:v>
      </x:c>
      <x:c r="H13" s="191" t="str">
        <x:v>Enter only completed qualified reviews</x:v>
      </x:c>
    </x:row>
    <x:row r="14">
      <x:c r="A14" s="165"/>
      <x:c r="B14" s="165"/>
      <x:c r="C14" s="165"/>
      <x:c r="D14" s="165"/>
      <x:c r="E14" s="165"/>
      <x:c r="F14" s="165"/>
      <x:c r="G14" s="165"/>
      <x:c r="H14" s="165"/>
    </x:row>
    <x:row r="15" ht="22" customHeight="1">
      <x:c r="A15" s="180" t="str">
        <x:v>Overall model status</x:v>
      </x:c>
      <x:c r="B15" s="180"/>
      <x:c r="C15" s="180"/>
      <x:c r="D15" s="180"/>
      <x:c r="E15" s="180"/>
      <x:c r="F15" s="180"/>
      <x:c r="G15" s="180"/>
      <x:c r="H15" s="180"/>
    </x:row>
    <x:row r="16">
      <x:c r="A16" s="165" t="str">
        <x:v>Critical checks passing</x:v>
      </x:c>
      <x:c r="B16" s="165" t="n">
        <x:f>COUNTIF(F5:F13,"OK")</x:f>
        <x:v>3</x:v>
      </x:c>
      <x:c r="C16" s="165"/>
      <x:c r="D16" s="165"/>
      <x:c r="E16" s="165"/>
      <x:c r="F16" s="165"/>
      <x:c r="G16" s="165"/>
      <x:c r="H16" s="165"/>
    </x:row>
    <x:row r="17">
      <x:c r="A17" s="165" t="str">
        <x:v>Model status</x:v>
      </x:c>
      <x:c r="B17" s="165" t="str">
        <x:f>IF(B16=9,"READY FOR EXTERNAL REVIEW","NOT READY - RESOLVE CHECKS")</x:f>
        <x:v>NOT READY - RESOLVE CHECKS</x:v>
      </x:c>
      <x:c r="C17" s="165"/>
      <x:c r="D17" s="165"/>
      <x:c r="E17" s="165"/>
      <x:c r="F17" s="165"/>
      <x:c r="G17" s="165"/>
      <x:c r="H17" s="165"/>
    </x:row>
  </x:sheetData>
  <x:mergeCells>
    <x:mergeCell ref="A1:H1"/>
    <x:mergeCell ref="A2:H2"/>
    <x:mergeCell ref="A15:H15"/>
  </x:mergeCells>
  <x:conditionalFormatting sqref="F5:F13">
    <x:cfRule type="containsText" dxfId="5" priority="1" operator="containsText" text="OK"/>
    <x:cfRule type="containsText" dxfId="6" priority="2" operator="containsText" text="ATTENTION"/>
  </x:conditionalFormatting>
  <x:conditionalFormatting sqref="B17:B17">
    <x:cfRule type="containsText" dxfId="7" priority="3" operator="containsText" text="NOT READY"/>
    <x:cfRule type="containsText" dxfId="8" priority="4" operator="containsText" text="READY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0" hidden="0" customWidth="1"/>
    <x:col min="4" max="4" width="24" hidden="0" customWidth="1"/>
    <x:col min="5" max="5" width="33" hidden="0" customWidth="1"/>
    <x:col min="6" max="6" width="39" hidden="0" customWidth="1"/>
    <x:col min="7" max="7" width="35" hidden="0" customWidth="1"/>
    <x:col min="8" max="8" width="39" hidden="0" customWidth="1"/>
    <x:col min="9" max="9" width="23" hidden="0" customWidth="1"/>
    <x:col min="10" max="10" width="18" hidden="0" customWidth="1"/>
  </x:cols>
  <x:sheetData>
    <x:row r="1" ht="30" customHeight="1">
      <x:c r="A1" s="230" t="str">
        <x:v>Interview evidence log</x:v>
      </x:c>
      <x:c r="B1" s="165"/>
      <x:c r="C1" s="165"/>
      <x:c r="D1" s="165"/>
      <x:c r="E1" s="165"/>
      <x:c r="F1" s="165"/>
      <x:c r="G1" s="165"/>
      <x:c r="H1" s="165"/>
      <x:c r="I1" s="165"/>
      <x:c r="J1" s="165"/>
    </x:row>
    <x:row r="2" ht="30" customHeight="1">
      <x:c r="A2" s="231" t="str">
        <x:v>Record anonymized role-level evidence and exactly which assumption or model structure changed. Do not call interviewees partners without authorization.</x:v>
      </x:c>
      <x:c r="B2" s="165"/>
      <x:c r="C2" s="165"/>
      <x:c r="D2" s="165"/>
      <x:c r="E2" s="165"/>
      <x:c r="F2" s="165"/>
      <x:c r="G2" s="165"/>
      <x:c r="H2" s="165"/>
      <x:c r="I2" s="165"/>
      <x:c r="J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</x:row>
    <x:row r="4">
      <x:c r="A4" s="182" t="str">
        <x:v>Interview ID</x:v>
      </x:c>
      <x:c r="B4" s="182" t="str">
        <x:v>Date</x:v>
      </x:c>
      <x:c r="C4" s="182" t="str">
        <x:v>Role category</x:v>
      </x:c>
      <x:c r="D4" s="182" t="str">
        <x:v>Organization type</x:v>
      </x:c>
      <x:c r="E4" s="182" t="str">
        <x:v>Experience relevance</x:v>
      </x:c>
      <x:c r="F4" s="182" t="str">
        <x:v>Key challenged assumption</x:v>
      </x:c>
      <x:c r="G4" s="182" t="str">
        <x:v>Evidence / range offered</x:v>
      </x:c>
      <x:c r="H4" s="182" t="str">
        <x:v>Model change</x:v>
      </x:c>
      <x:c r="I4" s="182" t="str">
        <x:v>Consent / attribution</x:v>
      </x:c>
      <x:c r="J4" s="182" t="str">
        <x:v>Follow-up status</x:v>
      </x:c>
    </x:row>
    <x:row r="5">
      <x:c r="A5" s="183" t="str">
        <x:v>INT-01</x:v>
      </x:c>
      <x:c r="B5" s="192"/>
      <x:c r="C5" s="184" t="str"/>
      <x:c r="D5" s="184" t="str"/>
      <x:c r="E5" s="184" t="str"/>
      <x:c r="F5" s="184" t="str"/>
      <x:c r="G5" s="184" t="str"/>
      <x:c r="H5" s="184" t="str"/>
      <x:c r="I5" s="184" t="str">
        <x:v>Anonymous by default</x:v>
      </x:c>
      <x:c r="J5" s="185" t="str">
        <x:v>Not scheduled</x:v>
      </x:c>
    </x:row>
    <x:row r="6">
      <x:c r="A6" s="186" t="str">
        <x:v>INT-02</x:v>
      </x:c>
      <x:c r="B6" s="193"/>
      <x:c r="C6" s="187" t="str"/>
      <x:c r="D6" s="187" t="str"/>
      <x:c r="E6" s="187" t="str"/>
      <x:c r="F6" s="187" t="str"/>
      <x:c r="G6" s="187" t="str"/>
      <x:c r="H6" s="187" t="str"/>
      <x:c r="I6" s="187" t="str">
        <x:v>Anonymous by default</x:v>
      </x:c>
      <x:c r="J6" s="188" t="str">
        <x:v>Not scheduled</x:v>
      </x:c>
    </x:row>
    <x:row r="7">
      <x:c r="A7" s="186" t="str">
        <x:v>INT-03</x:v>
      </x:c>
      <x:c r="B7" s="193"/>
      <x:c r="C7" s="187" t="str"/>
      <x:c r="D7" s="187" t="str"/>
      <x:c r="E7" s="187" t="str"/>
      <x:c r="F7" s="187" t="str"/>
      <x:c r="G7" s="187" t="str"/>
      <x:c r="H7" s="187" t="str"/>
      <x:c r="I7" s="187" t="str">
        <x:v>Anonymous by default</x:v>
      </x:c>
      <x:c r="J7" s="188" t="str">
        <x:v>Not scheduled</x:v>
      </x:c>
    </x:row>
    <x:row r="8">
      <x:c r="A8" s="186" t="str">
        <x:v>INT-04</x:v>
      </x:c>
      <x:c r="B8" s="193"/>
      <x:c r="C8" s="187" t="str"/>
      <x:c r="D8" s="187" t="str"/>
      <x:c r="E8" s="187" t="str"/>
      <x:c r="F8" s="187" t="str"/>
      <x:c r="G8" s="187" t="str"/>
      <x:c r="H8" s="187" t="str"/>
      <x:c r="I8" s="187" t="str">
        <x:v>Anonymous by default</x:v>
      </x:c>
      <x:c r="J8" s="188" t="str">
        <x:v>Not scheduled</x:v>
      </x:c>
    </x:row>
    <x:row r="9">
      <x:c r="A9" s="186" t="str">
        <x:v>INT-05</x:v>
      </x:c>
      <x:c r="B9" s="193"/>
      <x:c r="C9" s="187" t="str"/>
      <x:c r="D9" s="187" t="str"/>
      <x:c r="E9" s="187" t="str"/>
      <x:c r="F9" s="187" t="str"/>
      <x:c r="G9" s="187" t="str"/>
      <x:c r="H9" s="187" t="str"/>
      <x:c r="I9" s="187" t="str">
        <x:v>Anonymous by default</x:v>
      </x:c>
      <x:c r="J9" s="188" t="str">
        <x:v>Not scheduled</x:v>
      </x:c>
    </x:row>
    <x:row r="10">
      <x:c r="A10" s="186" t="str">
        <x:v>INT-06</x:v>
      </x:c>
      <x:c r="B10" s="193"/>
      <x:c r="C10" s="187" t="str"/>
      <x:c r="D10" s="187" t="str"/>
      <x:c r="E10" s="187" t="str"/>
      <x:c r="F10" s="187" t="str"/>
      <x:c r="G10" s="187" t="str"/>
      <x:c r="H10" s="187" t="str"/>
      <x:c r="I10" s="187" t="str">
        <x:v>Anonymous by default</x:v>
      </x:c>
      <x:c r="J10" s="188" t="str">
        <x:v>Not scheduled</x:v>
      </x:c>
    </x:row>
    <x:row r="11">
      <x:c r="A11" s="186" t="str">
        <x:v>INT-07</x:v>
      </x:c>
      <x:c r="B11" s="193"/>
      <x:c r="C11" s="187" t="str"/>
      <x:c r="D11" s="187" t="str"/>
      <x:c r="E11" s="187" t="str"/>
      <x:c r="F11" s="187" t="str"/>
      <x:c r="G11" s="187" t="str"/>
      <x:c r="H11" s="187" t="str"/>
      <x:c r="I11" s="187" t="str">
        <x:v>Anonymous by default</x:v>
      </x:c>
      <x:c r="J11" s="188" t="str">
        <x:v>Not scheduled</x:v>
      </x:c>
    </x:row>
    <x:row r="12">
      <x:c r="A12" s="186" t="str">
        <x:v>INT-08</x:v>
      </x:c>
      <x:c r="B12" s="193"/>
      <x:c r="C12" s="187" t="str"/>
      <x:c r="D12" s="187" t="str"/>
      <x:c r="E12" s="187" t="str"/>
      <x:c r="F12" s="187" t="str"/>
      <x:c r="G12" s="187" t="str"/>
      <x:c r="H12" s="187" t="str"/>
      <x:c r="I12" s="187" t="str">
        <x:v>Anonymous by default</x:v>
      </x:c>
      <x:c r="J12" s="188" t="str">
        <x:v>Not scheduled</x:v>
      </x:c>
    </x:row>
    <x:row r="13">
      <x:c r="A13" s="186" t="str">
        <x:v>INT-09</x:v>
      </x:c>
      <x:c r="B13" s="193"/>
      <x:c r="C13" s="187" t="str"/>
      <x:c r="D13" s="187" t="str"/>
      <x:c r="E13" s="187" t="str"/>
      <x:c r="F13" s="187" t="str"/>
      <x:c r="G13" s="187" t="str"/>
      <x:c r="H13" s="187" t="str"/>
      <x:c r="I13" s="187" t="str">
        <x:v>Anonymous by default</x:v>
      </x:c>
      <x:c r="J13" s="188" t="str">
        <x:v>Not scheduled</x:v>
      </x:c>
    </x:row>
    <x:row r="14">
      <x:c r="A14" s="186" t="str">
        <x:v>INT-10</x:v>
      </x:c>
      <x:c r="B14" s="193"/>
      <x:c r="C14" s="187" t="str"/>
      <x:c r="D14" s="187" t="str"/>
      <x:c r="E14" s="187" t="str"/>
      <x:c r="F14" s="187" t="str"/>
      <x:c r="G14" s="187" t="str"/>
      <x:c r="H14" s="187" t="str"/>
      <x:c r="I14" s="187" t="str">
        <x:v>Anonymous by default</x:v>
      </x:c>
      <x:c r="J14" s="188" t="str">
        <x:v>Not scheduled</x:v>
      </x:c>
    </x:row>
    <x:row r="15">
      <x:c r="A15" s="186" t="str">
        <x:v>INT-11</x:v>
      </x:c>
      <x:c r="B15" s="193"/>
      <x:c r="C15" s="187" t="str"/>
      <x:c r="D15" s="187" t="str"/>
      <x:c r="E15" s="187" t="str"/>
      <x:c r="F15" s="187" t="str"/>
      <x:c r="G15" s="187" t="str"/>
      <x:c r="H15" s="187" t="str"/>
      <x:c r="I15" s="187" t="str">
        <x:v>Anonymous by default</x:v>
      </x:c>
      <x:c r="J15" s="188" t="str">
        <x:v>Not scheduled</x:v>
      </x:c>
    </x:row>
    <x:row r="16">
      <x:c r="A16" s="186" t="str">
        <x:v>INT-12</x:v>
      </x:c>
      <x:c r="B16" s="193"/>
      <x:c r="C16" s="187" t="str"/>
      <x:c r="D16" s="187" t="str"/>
      <x:c r="E16" s="187" t="str"/>
      <x:c r="F16" s="187" t="str"/>
      <x:c r="G16" s="187" t="str"/>
      <x:c r="H16" s="187" t="str"/>
      <x:c r="I16" s="187" t="str">
        <x:v>Anonymous by default</x:v>
      </x:c>
      <x:c r="J16" s="188" t="str">
        <x:v>Not scheduled</x:v>
      </x:c>
    </x:row>
    <x:row r="17">
      <x:c r="A17" s="186" t="str">
        <x:v>INT-13</x:v>
      </x:c>
      <x:c r="B17" s="193"/>
      <x:c r="C17" s="187" t="str"/>
      <x:c r="D17" s="187" t="str"/>
      <x:c r="E17" s="187" t="str"/>
      <x:c r="F17" s="187" t="str"/>
      <x:c r="G17" s="187" t="str"/>
      <x:c r="H17" s="187" t="str"/>
      <x:c r="I17" s="187" t="str">
        <x:v>Anonymous by default</x:v>
      </x:c>
      <x:c r="J17" s="188" t="str">
        <x:v>Not scheduled</x:v>
      </x:c>
    </x:row>
    <x:row r="18">
      <x:c r="A18" s="186" t="str">
        <x:v>INT-14</x:v>
      </x:c>
      <x:c r="B18" s="193"/>
      <x:c r="C18" s="187" t="str"/>
      <x:c r="D18" s="187" t="str"/>
      <x:c r="E18" s="187" t="str"/>
      <x:c r="F18" s="187" t="str"/>
      <x:c r="G18" s="187" t="str"/>
      <x:c r="H18" s="187" t="str"/>
      <x:c r="I18" s="187" t="str">
        <x:v>Anonymous by default</x:v>
      </x:c>
      <x:c r="J18" s="188" t="str">
        <x:v>Not scheduled</x:v>
      </x:c>
    </x:row>
    <x:row r="19">
      <x:c r="A19" s="186" t="str">
        <x:v>INT-15</x:v>
      </x:c>
      <x:c r="B19" s="193"/>
      <x:c r="C19" s="187" t="str"/>
      <x:c r="D19" s="187" t="str"/>
      <x:c r="E19" s="187" t="str"/>
      <x:c r="F19" s="187" t="str"/>
      <x:c r="G19" s="187" t="str"/>
      <x:c r="H19" s="187" t="str"/>
      <x:c r="I19" s="187" t="str">
        <x:v>Anonymous by default</x:v>
      </x:c>
      <x:c r="J19" s="188" t="str">
        <x:v>Not scheduled</x:v>
      </x:c>
    </x:row>
    <x:row r="20">
      <x:c r="A20" s="186" t="str">
        <x:v>INT-16</x:v>
      </x:c>
      <x:c r="B20" s="193"/>
      <x:c r="C20" s="187" t="str"/>
      <x:c r="D20" s="187" t="str"/>
      <x:c r="E20" s="187" t="str"/>
      <x:c r="F20" s="187" t="str"/>
      <x:c r="G20" s="187" t="str"/>
      <x:c r="H20" s="187" t="str"/>
      <x:c r="I20" s="187" t="str">
        <x:v>Anonymous by default</x:v>
      </x:c>
      <x:c r="J20" s="188" t="str">
        <x:v>Not scheduled</x:v>
      </x:c>
    </x:row>
    <x:row r="21">
      <x:c r="A21" s="186" t="str">
        <x:v>INT-17</x:v>
      </x:c>
      <x:c r="B21" s="193"/>
      <x:c r="C21" s="187" t="str"/>
      <x:c r="D21" s="187" t="str"/>
      <x:c r="E21" s="187" t="str"/>
      <x:c r="F21" s="187" t="str"/>
      <x:c r="G21" s="187" t="str"/>
      <x:c r="H21" s="187" t="str"/>
      <x:c r="I21" s="187" t="str">
        <x:v>Anonymous by default</x:v>
      </x:c>
      <x:c r="J21" s="188" t="str">
        <x:v>Not scheduled</x:v>
      </x:c>
    </x:row>
    <x:row r="22">
      <x:c r="A22" s="186" t="str">
        <x:v>INT-18</x:v>
      </x:c>
      <x:c r="B22" s="193"/>
      <x:c r="C22" s="187" t="str"/>
      <x:c r="D22" s="187" t="str"/>
      <x:c r="E22" s="187" t="str"/>
      <x:c r="F22" s="187" t="str"/>
      <x:c r="G22" s="187" t="str"/>
      <x:c r="H22" s="187" t="str"/>
      <x:c r="I22" s="187" t="str">
        <x:v>Anonymous by default</x:v>
      </x:c>
      <x:c r="J22" s="188" t="str">
        <x:v>Not scheduled</x:v>
      </x:c>
    </x:row>
    <x:row r="23">
      <x:c r="A23" s="186" t="str">
        <x:v>INT-19</x:v>
      </x:c>
      <x:c r="B23" s="193"/>
      <x:c r="C23" s="187" t="str"/>
      <x:c r="D23" s="187" t="str"/>
      <x:c r="E23" s="187" t="str"/>
      <x:c r="F23" s="187" t="str"/>
      <x:c r="G23" s="187" t="str"/>
      <x:c r="H23" s="187" t="str"/>
      <x:c r="I23" s="187" t="str">
        <x:v>Anonymous by default</x:v>
      </x:c>
      <x:c r="J23" s="188" t="str">
        <x:v>Not scheduled</x:v>
      </x:c>
    </x:row>
    <x:row r="24">
      <x:c r="A24" s="186" t="str">
        <x:v>INT-20</x:v>
      </x:c>
      <x:c r="B24" s="193"/>
      <x:c r="C24" s="187" t="str"/>
      <x:c r="D24" s="187" t="str"/>
      <x:c r="E24" s="187" t="str"/>
      <x:c r="F24" s="187" t="str"/>
      <x:c r="G24" s="187" t="str"/>
      <x:c r="H24" s="187" t="str"/>
      <x:c r="I24" s="187" t="str">
        <x:v>Anonymous by default</x:v>
      </x:c>
      <x:c r="J24" s="188" t="str">
        <x:v>Not scheduled</x:v>
      </x:c>
    </x:row>
    <x:row r="25">
      <x:c r="A25" s="186" t="str">
        <x:v>INT-21</x:v>
      </x:c>
      <x:c r="B25" s="193"/>
      <x:c r="C25" s="187" t="str"/>
      <x:c r="D25" s="187" t="str"/>
      <x:c r="E25" s="187" t="str"/>
      <x:c r="F25" s="187" t="str"/>
      <x:c r="G25" s="187" t="str"/>
      <x:c r="H25" s="187" t="str"/>
      <x:c r="I25" s="187" t="str">
        <x:v>Anonymous by default</x:v>
      </x:c>
      <x:c r="J25" s="188" t="str">
        <x:v>Not scheduled</x:v>
      </x:c>
    </x:row>
    <x:row r="26">
      <x:c r="A26" s="186" t="str">
        <x:v>INT-22</x:v>
      </x:c>
      <x:c r="B26" s="193"/>
      <x:c r="C26" s="187" t="str"/>
      <x:c r="D26" s="187" t="str"/>
      <x:c r="E26" s="187" t="str"/>
      <x:c r="F26" s="187" t="str"/>
      <x:c r="G26" s="187" t="str"/>
      <x:c r="H26" s="187" t="str"/>
      <x:c r="I26" s="187" t="str">
        <x:v>Anonymous by default</x:v>
      </x:c>
      <x:c r="J26" s="188" t="str">
        <x:v>Not scheduled</x:v>
      </x:c>
    </x:row>
    <x:row r="27">
      <x:c r="A27" s="186" t="str">
        <x:v>INT-23</x:v>
      </x:c>
      <x:c r="B27" s="193"/>
      <x:c r="C27" s="187" t="str"/>
      <x:c r="D27" s="187" t="str"/>
      <x:c r="E27" s="187" t="str"/>
      <x:c r="F27" s="187" t="str"/>
      <x:c r="G27" s="187" t="str"/>
      <x:c r="H27" s="187" t="str"/>
      <x:c r="I27" s="187" t="str">
        <x:v>Anonymous by default</x:v>
      </x:c>
      <x:c r="J27" s="188" t="str">
        <x:v>Not scheduled</x:v>
      </x:c>
    </x:row>
    <x:row r="28">
      <x:c r="A28" s="186" t="str">
        <x:v>INT-24</x:v>
      </x:c>
      <x:c r="B28" s="193"/>
      <x:c r="C28" s="187" t="str"/>
      <x:c r="D28" s="187" t="str"/>
      <x:c r="E28" s="187" t="str"/>
      <x:c r="F28" s="187" t="str"/>
      <x:c r="G28" s="187" t="str"/>
      <x:c r="H28" s="187" t="str"/>
      <x:c r="I28" s="187" t="str">
        <x:v>Anonymous by default</x:v>
      </x:c>
      <x:c r="J28" s="188" t="str">
        <x:v>Not scheduled</x:v>
      </x:c>
    </x:row>
    <x:row r="29">
      <x:c r="A29" s="186" t="str">
        <x:v>INT-25</x:v>
      </x:c>
      <x:c r="B29" s="193"/>
      <x:c r="C29" s="187" t="str"/>
      <x:c r="D29" s="187" t="str"/>
      <x:c r="E29" s="187" t="str"/>
      <x:c r="F29" s="187" t="str"/>
      <x:c r="G29" s="187" t="str"/>
      <x:c r="H29" s="187" t="str"/>
      <x:c r="I29" s="187" t="str">
        <x:v>Anonymous by default</x:v>
      </x:c>
      <x:c r="J29" s="188" t="str">
        <x:v>Not scheduled</x:v>
      </x:c>
    </x:row>
    <x:row r="30">
      <x:c r="A30" s="186" t="str">
        <x:v>INT-26</x:v>
      </x:c>
      <x:c r="B30" s="193"/>
      <x:c r="C30" s="187" t="str"/>
      <x:c r="D30" s="187" t="str"/>
      <x:c r="E30" s="187" t="str"/>
      <x:c r="F30" s="187" t="str"/>
      <x:c r="G30" s="187" t="str"/>
      <x:c r="H30" s="187" t="str"/>
      <x:c r="I30" s="187" t="str">
        <x:v>Anonymous by default</x:v>
      </x:c>
      <x:c r="J30" s="188" t="str">
        <x:v>Not scheduled</x:v>
      </x:c>
    </x:row>
    <x:row r="31">
      <x:c r="A31" s="186" t="str">
        <x:v>INT-27</x:v>
      </x:c>
      <x:c r="B31" s="193"/>
      <x:c r="C31" s="187" t="str"/>
      <x:c r="D31" s="187" t="str"/>
      <x:c r="E31" s="187" t="str"/>
      <x:c r="F31" s="187" t="str"/>
      <x:c r="G31" s="187" t="str"/>
      <x:c r="H31" s="187" t="str"/>
      <x:c r="I31" s="187" t="str">
        <x:v>Anonymous by default</x:v>
      </x:c>
      <x:c r="J31" s="188" t="str">
        <x:v>Not scheduled</x:v>
      </x:c>
    </x:row>
    <x:row r="32">
      <x:c r="A32" s="186" t="str">
        <x:v>INT-28</x:v>
      </x:c>
      <x:c r="B32" s="193"/>
      <x:c r="C32" s="187" t="str"/>
      <x:c r="D32" s="187" t="str"/>
      <x:c r="E32" s="187" t="str"/>
      <x:c r="F32" s="187" t="str"/>
      <x:c r="G32" s="187" t="str"/>
      <x:c r="H32" s="187" t="str"/>
      <x:c r="I32" s="187" t="str">
        <x:v>Anonymous by default</x:v>
      </x:c>
      <x:c r="J32" s="188" t="str">
        <x:v>Not scheduled</x:v>
      </x:c>
    </x:row>
    <x:row r="33">
      <x:c r="A33" s="186" t="str">
        <x:v>INT-29</x:v>
      </x:c>
      <x:c r="B33" s="193"/>
      <x:c r="C33" s="187" t="str"/>
      <x:c r="D33" s="187" t="str"/>
      <x:c r="E33" s="187" t="str"/>
      <x:c r="F33" s="187" t="str"/>
      <x:c r="G33" s="187" t="str"/>
      <x:c r="H33" s="187" t="str"/>
      <x:c r="I33" s="187" t="str">
        <x:v>Anonymous by default</x:v>
      </x:c>
      <x:c r="J33" s="188" t="str">
        <x:v>Not scheduled</x:v>
      </x:c>
    </x:row>
    <x:row r="34">
      <x:c r="A34" s="189" t="str">
        <x:v>INT-30</x:v>
      </x:c>
      <x:c r="B34" s="194"/>
      <x:c r="C34" s="190" t="str"/>
      <x:c r="D34" s="190" t="str"/>
      <x:c r="E34" s="190" t="str"/>
      <x:c r="F34" s="190" t="str"/>
      <x:c r="G34" s="190" t="str"/>
      <x:c r="H34" s="190" t="str"/>
      <x:c r="I34" s="190" t="str">
        <x:v>Anonymous by default</x:v>
      </x:c>
      <x:c r="J34" s="191" t="str">
        <x:v>Not scheduled</x:v>
      </x:c>
    </x:row>
  </x:sheetData>
  <x:mergeCells>
    <x:mergeCell ref="A1:J1"/>
    <x:mergeCell ref="A2:J2"/>
  </x:mergeCells>
  <x:dataValidations count="2">
    <x:dataValidation type="list" sqref="C5:C34">
      <x:formula1>"Hospital pharmacy/supply chain,Sterile manufacturing/process,Quality/CMC,Regulatory/503B/generics,GPO/distributor,Operations research/economics,Clinician,Other"</x:formula1>
    </x:dataValidation>
    <x:dataValidation type="list" sqref="J5:J34">
      <x:formula1>"Not scheduled,Scheduled,Complete,Follow-up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254fa69b0432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3" hidden="0" customWidth="1"/>
    <x:col min="5" max="5" width="43" hidden="0" customWidth="1"/>
    <x:col min="6" max="6" width="33" hidden="0" customWidth="1"/>
    <x:col min="7" max="7" width="21" hidden="0" customWidth="1"/>
    <x:col min="8" max="8" width="27" hidden="0" customWidth="1"/>
    <x:col min="9" max="9" width="54" hidden="0" customWidth="1"/>
  </x:cols>
  <x:sheetData>
    <x:row r="1" ht="30" customHeight="1">
      <x:c r="A1" s="230" t="str">
        <x:v>Revision and external-review log</x:v>
      </x:c>
      <x:c r="B1" s="165"/>
      <x:c r="C1" s="165"/>
      <x:c r="D1" s="165"/>
      <x:c r="E1" s="165"/>
      <x:c r="F1" s="165"/>
      <x:c r="G1" s="165"/>
      <x:c r="H1" s="165"/>
      <x:c r="I1" s="165"/>
    </x:row>
    <x:row r="2" ht="30" customHeight="1">
      <x:c r="A2" s="231" t="str">
        <x:v>The strongest research artifact shows what criticism changed, not merely who was contacted.</x:v>
      </x:c>
      <x:c r="B2" s="165"/>
      <x:c r="C2" s="165"/>
      <x:c r="D2" s="165"/>
      <x:c r="E2" s="165"/>
      <x:c r="F2" s="165"/>
      <x:c r="G2" s="165"/>
      <x:c r="H2" s="165"/>
      <x:c r="I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</x:row>
    <x:row r="4">
      <x:c r="A4" s="182" t="str">
        <x:v>Revision ID</x:v>
      </x:c>
      <x:c r="B4" s="182" t="str">
        <x:v>Date</x:v>
      </x:c>
      <x:c r="C4" s="182" t="str">
        <x:v>Version</x:v>
      </x:c>
      <x:c r="D4" s="182" t="str">
        <x:v>Reviewer qualification</x:v>
      </x:c>
      <x:c r="E4" s="182" t="str">
        <x:v>Issue raised</x:v>
      </x:c>
      <x:c r="F4" s="182" t="str">
        <x:v>Decision</x:v>
      </x:c>
      <x:c r="G4" s="182" t="str">
        <x:v>Status</x:v>
      </x:c>
      <x:c r="H4" s="182" t="str">
        <x:v>Affected files/sheets</x:v>
      </x:c>
      <x:c r="I4" s="182" t="str">
        <x:v>Change and rationale</x:v>
      </x:c>
    </x:row>
    <x:row r="5">
      <x:c r="A5" s="183" t="str">
        <x:v>REV-001</x:v>
      </x:c>
      <x:c r="B5" s="192"/>
      <x:c r="C5" s="184" t="str"/>
      <x:c r="D5" s="184" t="str"/>
      <x:c r="E5" s="184" t="str"/>
      <x:c r="F5" s="184" t="str"/>
      <x:c r="G5" s="184" t="str">
        <x:v>Pending</x:v>
      </x:c>
      <x:c r="H5" s="184" t="str"/>
      <x:c r="I5" s="185" t="str"/>
    </x:row>
    <x:row r="6">
      <x:c r="A6" s="186" t="str">
        <x:v>REV-002</x:v>
      </x:c>
      <x:c r="B6" s="193"/>
      <x:c r="C6" s="187" t="str"/>
      <x:c r="D6" s="187" t="str"/>
      <x:c r="E6" s="187" t="str"/>
      <x:c r="F6" s="187" t="str"/>
      <x:c r="G6" s="187" t="str">
        <x:v>Pending</x:v>
      </x:c>
      <x:c r="H6" s="187" t="str"/>
      <x:c r="I6" s="188" t="str"/>
    </x:row>
    <x:row r="7">
      <x:c r="A7" s="186" t="str">
        <x:v>REV-003</x:v>
      </x:c>
      <x:c r="B7" s="193"/>
      <x:c r="C7" s="187" t="str"/>
      <x:c r="D7" s="187" t="str"/>
      <x:c r="E7" s="187" t="str"/>
      <x:c r="F7" s="187" t="str"/>
      <x:c r="G7" s="187" t="str">
        <x:v>Pending</x:v>
      </x:c>
      <x:c r="H7" s="187" t="str"/>
      <x:c r="I7" s="188" t="str"/>
    </x:row>
    <x:row r="8">
      <x:c r="A8" s="186" t="str">
        <x:v>REV-004</x:v>
      </x:c>
      <x:c r="B8" s="193"/>
      <x:c r="C8" s="187" t="str"/>
      <x:c r="D8" s="187" t="str"/>
      <x:c r="E8" s="187" t="str"/>
      <x:c r="F8" s="187" t="str"/>
      <x:c r="G8" s="187" t="str">
        <x:v>Pending</x:v>
      </x:c>
      <x:c r="H8" s="187" t="str"/>
      <x:c r="I8" s="188" t="str"/>
    </x:row>
    <x:row r="9">
      <x:c r="A9" s="186" t="str">
        <x:v>REV-005</x:v>
      </x:c>
      <x:c r="B9" s="193"/>
      <x:c r="C9" s="187" t="str"/>
      <x:c r="D9" s="187" t="str"/>
      <x:c r="E9" s="187" t="str"/>
      <x:c r="F9" s="187" t="str"/>
      <x:c r="G9" s="187" t="str">
        <x:v>Pending</x:v>
      </x:c>
      <x:c r="H9" s="187" t="str"/>
      <x:c r="I9" s="188" t="str"/>
    </x:row>
    <x:row r="10">
      <x:c r="A10" s="186" t="str">
        <x:v>REV-006</x:v>
      </x:c>
      <x:c r="B10" s="193"/>
      <x:c r="C10" s="187" t="str"/>
      <x:c r="D10" s="187" t="str"/>
      <x:c r="E10" s="187" t="str"/>
      <x:c r="F10" s="187" t="str"/>
      <x:c r="G10" s="187" t="str">
        <x:v>Pending</x:v>
      </x:c>
      <x:c r="H10" s="187" t="str"/>
      <x:c r="I10" s="188" t="str"/>
    </x:row>
    <x:row r="11">
      <x:c r="A11" s="186" t="str">
        <x:v>REV-007</x:v>
      </x:c>
      <x:c r="B11" s="193"/>
      <x:c r="C11" s="187" t="str"/>
      <x:c r="D11" s="187" t="str"/>
      <x:c r="E11" s="187" t="str"/>
      <x:c r="F11" s="187" t="str"/>
      <x:c r="G11" s="187" t="str">
        <x:v>Pending</x:v>
      </x:c>
      <x:c r="H11" s="187" t="str"/>
      <x:c r="I11" s="188" t="str"/>
    </x:row>
    <x:row r="12">
      <x:c r="A12" s="186" t="str">
        <x:v>REV-008</x:v>
      </x:c>
      <x:c r="B12" s="193"/>
      <x:c r="C12" s="187" t="str"/>
      <x:c r="D12" s="187" t="str"/>
      <x:c r="E12" s="187" t="str"/>
      <x:c r="F12" s="187" t="str"/>
      <x:c r="G12" s="187" t="str">
        <x:v>Pending</x:v>
      </x:c>
      <x:c r="H12" s="187" t="str"/>
      <x:c r="I12" s="188" t="str"/>
    </x:row>
    <x:row r="13">
      <x:c r="A13" s="186" t="str">
        <x:v>REV-009</x:v>
      </x:c>
      <x:c r="B13" s="193"/>
      <x:c r="C13" s="187" t="str"/>
      <x:c r="D13" s="187" t="str"/>
      <x:c r="E13" s="187" t="str"/>
      <x:c r="F13" s="187" t="str"/>
      <x:c r="G13" s="187" t="str">
        <x:v>Pending</x:v>
      </x:c>
      <x:c r="H13" s="187" t="str"/>
      <x:c r="I13" s="188" t="str"/>
    </x:row>
    <x:row r="14">
      <x:c r="A14" s="186" t="str">
        <x:v>REV-010</x:v>
      </x:c>
      <x:c r="B14" s="193"/>
      <x:c r="C14" s="187" t="str"/>
      <x:c r="D14" s="187" t="str"/>
      <x:c r="E14" s="187" t="str"/>
      <x:c r="F14" s="187" t="str"/>
      <x:c r="G14" s="187" t="str">
        <x:v>Pending</x:v>
      </x:c>
      <x:c r="H14" s="187" t="str"/>
      <x:c r="I14" s="188" t="str"/>
    </x:row>
    <x:row r="15">
      <x:c r="A15" s="186" t="str">
        <x:v>REV-011</x:v>
      </x:c>
      <x:c r="B15" s="193"/>
      <x:c r="C15" s="187" t="str"/>
      <x:c r="D15" s="187" t="str"/>
      <x:c r="E15" s="187" t="str"/>
      <x:c r="F15" s="187" t="str"/>
      <x:c r="G15" s="187" t="str">
        <x:v>Pending</x:v>
      </x:c>
      <x:c r="H15" s="187" t="str"/>
      <x:c r="I15" s="188" t="str"/>
    </x:row>
    <x:row r="16">
      <x:c r="A16" s="186" t="str">
        <x:v>REV-012</x:v>
      </x:c>
      <x:c r="B16" s="193"/>
      <x:c r="C16" s="187" t="str"/>
      <x:c r="D16" s="187" t="str"/>
      <x:c r="E16" s="187" t="str"/>
      <x:c r="F16" s="187" t="str"/>
      <x:c r="G16" s="187" t="str">
        <x:v>Pending</x:v>
      </x:c>
      <x:c r="H16" s="187" t="str"/>
      <x:c r="I16" s="188" t="str"/>
    </x:row>
    <x:row r="17">
      <x:c r="A17" s="186" t="str">
        <x:v>REV-013</x:v>
      </x:c>
      <x:c r="B17" s="193"/>
      <x:c r="C17" s="187" t="str"/>
      <x:c r="D17" s="187" t="str"/>
      <x:c r="E17" s="187" t="str"/>
      <x:c r="F17" s="187" t="str"/>
      <x:c r="G17" s="187" t="str">
        <x:v>Pending</x:v>
      </x:c>
      <x:c r="H17" s="187" t="str"/>
      <x:c r="I17" s="188" t="str"/>
    </x:row>
    <x:row r="18">
      <x:c r="A18" s="186" t="str">
        <x:v>REV-014</x:v>
      </x:c>
      <x:c r="B18" s="193"/>
      <x:c r="C18" s="187" t="str"/>
      <x:c r="D18" s="187" t="str"/>
      <x:c r="E18" s="187" t="str"/>
      <x:c r="F18" s="187" t="str"/>
      <x:c r="G18" s="187" t="str">
        <x:v>Pending</x:v>
      </x:c>
      <x:c r="H18" s="187" t="str"/>
      <x:c r="I18" s="188" t="str"/>
    </x:row>
    <x:row r="19">
      <x:c r="A19" s="186" t="str">
        <x:v>REV-015</x:v>
      </x:c>
      <x:c r="B19" s="193"/>
      <x:c r="C19" s="187" t="str"/>
      <x:c r="D19" s="187" t="str"/>
      <x:c r="E19" s="187" t="str"/>
      <x:c r="F19" s="187" t="str"/>
      <x:c r="G19" s="187" t="str">
        <x:v>Pending</x:v>
      </x:c>
      <x:c r="H19" s="187" t="str"/>
      <x:c r="I19" s="188" t="str"/>
    </x:row>
    <x:row r="20">
      <x:c r="A20" s="186" t="str">
        <x:v>REV-016</x:v>
      </x:c>
      <x:c r="B20" s="193"/>
      <x:c r="C20" s="187" t="str"/>
      <x:c r="D20" s="187" t="str"/>
      <x:c r="E20" s="187" t="str"/>
      <x:c r="F20" s="187" t="str"/>
      <x:c r="G20" s="187" t="str">
        <x:v>Pending</x:v>
      </x:c>
      <x:c r="H20" s="187" t="str"/>
      <x:c r="I20" s="188" t="str"/>
    </x:row>
    <x:row r="21">
      <x:c r="A21" s="186" t="str">
        <x:v>REV-017</x:v>
      </x:c>
      <x:c r="B21" s="193"/>
      <x:c r="C21" s="187" t="str"/>
      <x:c r="D21" s="187" t="str"/>
      <x:c r="E21" s="187" t="str"/>
      <x:c r="F21" s="187" t="str"/>
      <x:c r="G21" s="187" t="str">
        <x:v>Pending</x:v>
      </x:c>
      <x:c r="H21" s="187" t="str"/>
      <x:c r="I21" s="188" t="str"/>
    </x:row>
    <x:row r="22">
      <x:c r="A22" s="186" t="str">
        <x:v>REV-018</x:v>
      </x:c>
      <x:c r="B22" s="193"/>
      <x:c r="C22" s="187" t="str"/>
      <x:c r="D22" s="187" t="str"/>
      <x:c r="E22" s="187" t="str"/>
      <x:c r="F22" s="187" t="str"/>
      <x:c r="G22" s="187" t="str">
        <x:v>Pending</x:v>
      </x:c>
      <x:c r="H22" s="187" t="str"/>
      <x:c r="I22" s="188" t="str"/>
    </x:row>
    <x:row r="23">
      <x:c r="A23" s="186" t="str">
        <x:v>REV-019</x:v>
      </x:c>
      <x:c r="B23" s="193"/>
      <x:c r="C23" s="187" t="str"/>
      <x:c r="D23" s="187" t="str"/>
      <x:c r="E23" s="187" t="str"/>
      <x:c r="F23" s="187" t="str"/>
      <x:c r="G23" s="187" t="str">
        <x:v>Pending</x:v>
      </x:c>
      <x:c r="H23" s="187" t="str"/>
      <x:c r="I23" s="188" t="str"/>
    </x:row>
    <x:row r="24">
      <x:c r="A24" s="186" t="str">
        <x:v>REV-020</x:v>
      </x:c>
      <x:c r="B24" s="193"/>
      <x:c r="C24" s="187" t="str"/>
      <x:c r="D24" s="187" t="str"/>
      <x:c r="E24" s="187" t="str"/>
      <x:c r="F24" s="187" t="str"/>
      <x:c r="G24" s="187" t="str">
        <x:v>Pending</x:v>
      </x:c>
      <x:c r="H24" s="187" t="str"/>
      <x:c r="I24" s="188" t="str"/>
    </x:row>
    <x:row r="25">
      <x:c r="A25" s="186" t="str">
        <x:v>REV-021</x:v>
      </x:c>
      <x:c r="B25" s="193"/>
      <x:c r="C25" s="187" t="str"/>
      <x:c r="D25" s="187" t="str"/>
      <x:c r="E25" s="187" t="str"/>
      <x:c r="F25" s="187" t="str"/>
      <x:c r="G25" s="187" t="str">
        <x:v>Pending</x:v>
      </x:c>
      <x:c r="H25" s="187" t="str"/>
      <x:c r="I25" s="188" t="str"/>
    </x:row>
    <x:row r="26">
      <x:c r="A26" s="186" t="str">
        <x:v>REV-022</x:v>
      </x:c>
      <x:c r="B26" s="193"/>
      <x:c r="C26" s="187" t="str"/>
      <x:c r="D26" s="187" t="str"/>
      <x:c r="E26" s="187" t="str"/>
      <x:c r="F26" s="187" t="str"/>
      <x:c r="G26" s="187" t="str">
        <x:v>Pending</x:v>
      </x:c>
      <x:c r="H26" s="187" t="str"/>
      <x:c r="I26" s="188" t="str"/>
    </x:row>
    <x:row r="27">
      <x:c r="A27" s="186" t="str">
        <x:v>REV-023</x:v>
      </x:c>
      <x:c r="B27" s="193"/>
      <x:c r="C27" s="187" t="str"/>
      <x:c r="D27" s="187" t="str"/>
      <x:c r="E27" s="187" t="str"/>
      <x:c r="F27" s="187" t="str"/>
      <x:c r="G27" s="187" t="str">
        <x:v>Pending</x:v>
      </x:c>
      <x:c r="H27" s="187" t="str"/>
      <x:c r="I27" s="188" t="str"/>
    </x:row>
    <x:row r="28">
      <x:c r="A28" s="186" t="str">
        <x:v>REV-024</x:v>
      </x:c>
      <x:c r="B28" s="193"/>
      <x:c r="C28" s="187" t="str"/>
      <x:c r="D28" s="187" t="str"/>
      <x:c r="E28" s="187" t="str"/>
      <x:c r="F28" s="187" t="str"/>
      <x:c r="G28" s="187" t="str">
        <x:v>Pending</x:v>
      </x:c>
      <x:c r="H28" s="187" t="str"/>
      <x:c r="I28" s="188" t="str"/>
    </x:row>
    <x:row r="29">
      <x:c r="A29" s="186" t="str">
        <x:v>REV-025</x:v>
      </x:c>
      <x:c r="B29" s="193"/>
      <x:c r="C29" s="187" t="str"/>
      <x:c r="D29" s="187" t="str"/>
      <x:c r="E29" s="187" t="str"/>
      <x:c r="F29" s="187" t="str"/>
      <x:c r="G29" s="187" t="str">
        <x:v>Pending</x:v>
      </x:c>
      <x:c r="H29" s="187" t="str"/>
      <x:c r="I29" s="188" t="str"/>
    </x:row>
    <x:row r="30">
      <x:c r="A30" s="186" t="str">
        <x:v>REV-026</x:v>
      </x:c>
      <x:c r="B30" s="193"/>
      <x:c r="C30" s="187" t="str"/>
      <x:c r="D30" s="187" t="str"/>
      <x:c r="E30" s="187" t="str"/>
      <x:c r="F30" s="187" t="str"/>
      <x:c r="G30" s="187" t="str">
        <x:v>Pending</x:v>
      </x:c>
      <x:c r="H30" s="187" t="str"/>
      <x:c r="I30" s="188" t="str"/>
    </x:row>
    <x:row r="31">
      <x:c r="A31" s="186" t="str">
        <x:v>REV-027</x:v>
      </x:c>
      <x:c r="B31" s="193"/>
      <x:c r="C31" s="187" t="str"/>
      <x:c r="D31" s="187" t="str"/>
      <x:c r="E31" s="187" t="str"/>
      <x:c r="F31" s="187" t="str"/>
      <x:c r="G31" s="187" t="str">
        <x:v>Pending</x:v>
      </x:c>
      <x:c r="H31" s="187" t="str"/>
      <x:c r="I31" s="188" t="str"/>
    </x:row>
    <x:row r="32">
      <x:c r="A32" s="186" t="str">
        <x:v>REV-028</x:v>
      </x:c>
      <x:c r="B32" s="193"/>
      <x:c r="C32" s="187" t="str"/>
      <x:c r="D32" s="187" t="str"/>
      <x:c r="E32" s="187" t="str"/>
      <x:c r="F32" s="187" t="str"/>
      <x:c r="G32" s="187" t="str">
        <x:v>Pending</x:v>
      </x:c>
      <x:c r="H32" s="187" t="str"/>
      <x:c r="I32" s="188" t="str"/>
    </x:row>
    <x:row r="33">
      <x:c r="A33" s="186" t="str">
        <x:v>REV-029</x:v>
      </x:c>
      <x:c r="B33" s="193"/>
      <x:c r="C33" s="187" t="str"/>
      <x:c r="D33" s="187" t="str"/>
      <x:c r="E33" s="187" t="str"/>
      <x:c r="F33" s="187" t="str"/>
      <x:c r="G33" s="187" t="str">
        <x:v>Pending</x:v>
      </x:c>
      <x:c r="H33" s="187" t="str"/>
      <x:c r="I33" s="188" t="str"/>
    </x:row>
    <x:row r="34">
      <x:c r="A34" s="186" t="str">
        <x:v>REV-030</x:v>
      </x:c>
      <x:c r="B34" s="193"/>
      <x:c r="C34" s="187" t="str"/>
      <x:c r="D34" s="187" t="str"/>
      <x:c r="E34" s="187" t="str"/>
      <x:c r="F34" s="187" t="str"/>
      <x:c r="G34" s="187" t="str">
        <x:v>Pending</x:v>
      </x:c>
      <x:c r="H34" s="187" t="str"/>
      <x:c r="I34" s="188" t="str"/>
    </x:row>
    <x:row r="35">
      <x:c r="A35" s="186" t="str">
        <x:v>REV-031</x:v>
      </x:c>
      <x:c r="B35" s="193"/>
      <x:c r="C35" s="187" t="str"/>
      <x:c r="D35" s="187" t="str"/>
      <x:c r="E35" s="187" t="str"/>
      <x:c r="F35" s="187" t="str"/>
      <x:c r="G35" s="187" t="str">
        <x:v>Pending</x:v>
      </x:c>
      <x:c r="H35" s="187" t="str"/>
      <x:c r="I35" s="188" t="str"/>
    </x:row>
    <x:row r="36">
      <x:c r="A36" s="186" t="str">
        <x:v>REV-032</x:v>
      </x:c>
      <x:c r="B36" s="193"/>
      <x:c r="C36" s="187" t="str"/>
      <x:c r="D36" s="187" t="str"/>
      <x:c r="E36" s="187" t="str"/>
      <x:c r="F36" s="187" t="str"/>
      <x:c r="G36" s="187" t="str">
        <x:v>Pending</x:v>
      </x:c>
      <x:c r="H36" s="187" t="str"/>
      <x:c r="I36" s="188" t="str"/>
    </x:row>
    <x:row r="37">
      <x:c r="A37" s="186" t="str">
        <x:v>REV-033</x:v>
      </x:c>
      <x:c r="B37" s="193"/>
      <x:c r="C37" s="187" t="str"/>
      <x:c r="D37" s="187" t="str"/>
      <x:c r="E37" s="187" t="str"/>
      <x:c r="F37" s="187" t="str"/>
      <x:c r="G37" s="187" t="str">
        <x:v>Pending</x:v>
      </x:c>
      <x:c r="H37" s="187" t="str"/>
      <x:c r="I37" s="188" t="str"/>
    </x:row>
    <x:row r="38">
      <x:c r="A38" s="186" t="str">
        <x:v>REV-034</x:v>
      </x:c>
      <x:c r="B38" s="193"/>
      <x:c r="C38" s="187" t="str"/>
      <x:c r="D38" s="187" t="str"/>
      <x:c r="E38" s="187" t="str"/>
      <x:c r="F38" s="187" t="str"/>
      <x:c r="G38" s="187" t="str">
        <x:v>Pending</x:v>
      </x:c>
      <x:c r="H38" s="187" t="str"/>
      <x:c r="I38" s="188" t="str"/>
    </x:row>
    <x:row r="39">
      <x:c r="A39" s="186" t="str">
        <x:v>REV-035</x:v>
      </x:c>
      <x:c r="B39" s="193"/>
      <x:c r="C39" s="187" t="str"/>
      <x:c r="D39" s="187" t="str"/>
      <x:c r="E39" s="187" t="str"/>
      <x:c r="F39" s="187" t="str"/>
      <x:c r="G39" s="187" t="str">
        <x:v>Pending</x:v>
      </x:c>
      <x:c r="H39" s="187" t="str"/>
      <x:c r="I39" s="188" t="str"/>
    </x:row>
    <x:row r="40">
      <x:c r="A40" s="186" t="str">
        <x:v>REV-036</x:v>
      </x:c>
      <x:c r="B40" s="193"/>
      <x:c r="C40" s="187" t="str"/>
      <x:c r="D40" s="187" t="str"/>
      <x:c r="E40" s="187" t="str"/>
      <x:c r="F40" s="187" t="str"/>
      <x:c r="G40" s="187" t="str">
        <x:v>Pending</x:v>
      </x:c>
      <x:c r="H40" s="187" t="str"/>
      <x:c r="I40" s="188" t="str"/>
    </x:row>
    <x:row r="41">
      <x:c r="A41" s="186" t="str">
        <x:v>REV-037</x:v>
      </x:c>
      <x:c r="B41" s="193"/>
      <x:c r="C41" s="187" t="str"/>
      <x:c r="D41" s="187" t="str"/>
      <x:c r="E41" s="187" t="str"/>
      <x:c r="F41" s="187" t="str"/>
      <x:c r="G41" s="187" t="str">
        <x:v>Pending</x:v>
      </x:c>
      <x:c r="H41" s="187" t="str"/>
      <x:c r="I41" s="188" t="str"/>
    </x:row>
    <x:row r="42">
      <x:c r="A42" s="186" t="str">
        <x:v>REV-038</x:v>
      </x:c>
      <x:c r="B42" s="193"/>
      <x:c r="C42" s="187" t="str"/>
      <x:c r="D42" s="187" t="str"/>
      <x:c r="E42" s="187" t="str"/>
      <x:c r="F42" s="187" t="str"/>
      <x:c r="G42" s="187" t="str">
        <x:v>Pending</x:v>
      </x:c>
      <x:c r="H42" s="187" t="str"/>
      <x:c r="I42" s="188" t="str"/>
    </x:row>
    <x:row r="43">
      <x:c r="A43" s="186" t="str">
        <x:v>REV-039</x:v>
      </x:c>
      <x:c r="B43" s="193"/>
      <x:c r="C43" s="187" t="str"/>
      <x:c r="D43" s="187" t="str"/>
      <x:c r="E43" s="187" t="str"/>
      <x:c r="F43" s="187" t="str"/>
      <x:c r="G43" s="187" t="str">
        <x:v>Pending</x:v>
      </x:c>
      <x:c r="H43" s="187" t="str"/>
      <x:c r="I43" s="188" t="str"/>
    </x:row>
    <x:row r="44">
      <x:c r="A44" s="186" t="str">
        <x:v>REV-040</x:v>
      </x:c>
      <x:c r="B44" s="193"/>
      <x:c r="C44" s="187" t="str"/>
      <x:c r="D44" s="187" t="str"/>
      <x:c r="E44" s="187" t="str"/>
      <x:c r="F44" s="187" t="str"/>
      <x:c r="G44" s="187" t="str">
        <x:v>Pending</x:v>
      </x:c>
      <x:c r="H44" s="187" t="str"/>
      <x:c r="I44" s="188" t="str"/>
    </x:row>
    <x:row r="45">
      <x:c r="A45" s="186" t="str">
        <x:v>REV-041</x:v>
      </x:c>
      <x:c r="B45" s="193"/>
      <x:c r="C45" s="187" t="str"/>
      <x:c r="D45" s="187" t="str"/>
      <x:c r="E45" s="187" t="str"/>
      <x:c r="F45" s="187" t="str"/>
      <x:c r="G45" s="187" t="str">
        <x:v>Pending</x:v>
      </x:c>
      <x:c r="H45" s="187" t="str"/>
      <x:c r="I45" s="188" t="str"/>
    </x:row>
    <x:row r="46">
      <x:c r="A46" s="186" t="str">
        <x:v>REV-042</x:v>
      </x:c>
      <x:c r="B46" s="193"/>
      <x:c r="C46" s="187" t="str"/>
      <x:c r="D46" s="187" t="str"/>
      <x:c r="E46" s="187" t="str"/>
      <x:c r="F46" s="187" t="str"/>
      <x:c r="G46" s="187" t="str">
        <x:v>Pending</x:v>
      </x:c>
      <x:c r="H46" s="187" t="str"/>
      <x:c r="I46" s="188" t="str"/>
    </x:row>
    <x:row r="47">
      <x:c r="A47" s="186" t="str">
        <x:v>REV-043</x:v>
      </x:c>
      <x:c r="B47" s="193"/>
      <x:c r="C47" s="187" t="str"/>
      <x:c r="D47" s="187" t="str"/>
      <x:c r="E47" s="187" t="str"/>
      <x:c r="F47" s="187" t="str"/>
      <x:c r="G47" s="187" t="str">
        <x:v>Pending</x:v>
      </x:c>
      <x:c r="H47" s="187" t="str"/>
      <x:c r="I47" s="188" t="str"/>
    </x:row>
    <x:row r="48">
      <x:c r="A48" s="186" t="str">
        <x:v>REV-044</x:v>
      </x:c>
      <x:c r="B48" s="193"/>
      <x:c r="C48" s="187" t="str"/>
      <x:c r="D48" s="187" t="str"/>
      <x:c r="E48" s="187" t="str"/>
      <x:c r="F48" s="187" t="str"/>
      <x:c r="G48" s="187" t="str">
        <x:v>Pending</x:v>
      </x:c>
      <x:c r="H48" s="187" t="str"/>
      <x:c r="I48" s="188" t="str"/>
    </x:row>
    <x:row r="49">
      <x:c r="A49" s="186" t="str">
        <x:v>REV-045</x:v>
      </x:c>
      <x:c r="B49" s="193"/>
      <x:c r="C49" s="187" t="str"/>
      <x:c r="D49" s="187" t="str"/>
      <x:c r="E49" s="187" t="str"/>
      <x:c r="F49" s="187" t="str"/>
      <x:c r="G49" s="187" t="str">
        <x:v>Pending</x:v>
      </x:c>
      <x:c r="H49" s="187" t="str"/>
      <x:c r="I49" s="188" t="str"/>
    </x:row>
    <x:row r="50">
      <x:c r="A50" s="186" t="str">
        <x:v>REV-046</x:v>
      </x:c>
      <x:c r="B50" s="193"/>
      <x:c r="C50" s="187" t="str"/>
      <x:c r="D50" s="187" t="str"/>
      <x:c r="E50" s="187" t="str"/>
      <x:c r="F50" s="187" t="str"/>
      <x:c r="G50" s="187" t="str">
        <x:v>Pending</x:v>
      </x:c>
      <x:c r="H50" s="187" t="str"/>
      <x:c r="I50" s="188" t="str"/>
    </x:row>
    <x:row r="51">
      <x:c r="A51" s="186" t="str">
        <x:v>REV-047</x:v>
      </x:c>
      <x:c r="B51" s="193"/>
      <x:c r="C51" s="187" t="str"/>
      <x:c r="D51" s="187" t="str"/>
      <x:c r="E51" s="187" t="str"/>
      <x:c r="F51" s="187" t="str"/>
      <x:c r="G51" s="187" t="str">
        <x:v>Pending</x:v>
      </x:c>
      <x:c r="H51" s="187" t="str"/>
      <x:c r="I51" s="188" t="str"/>
    </x:row>
    <x:row r="52">
      <x:c r="A52" s="186" t="str">
        <x:v>REV-048</x:v>
      </x:c>
      <x:c r="B52" s="193"/>
      <x:c r="C52" s="187" t="str"/>
      <x:c r="D52" s="187" t="str"/>
      <x:c r="E52" s="187" t="str"/>
      <x:c r="F52" s="187" t="str"/>
      <x:c r="G52" s="187" t="str">
        <x:v>Pending</x:v>
      </x:c>
      <x:c r="H52" s="187" t="str"/>
      <x:c r="I52" s="188" t="str"/>
    </x:row>
    <x:row r="53">
      <x:c r="A53" s="186" t="str">
        <x:v>REV-049</x:v>
      </x:c>
      <x:c r="B53" s="193"/>
      <x:c r="C53" s="187" t="str"/>
      <x:c r="D53" s="187" t="str"/>
      <x:c r="E53" s="187" t="str"/>
      <x:c r="F53" s="187" t="str"/>
      <x:c r="G53" s="187" t="str">
        <x:v>Pending</x:v>
      </x:c>
      <x:c r="H53" s="187" t="str"/>
      <x:c r="I53" s="188" t="str"/>
    </x:row>
    <x:row r="54">
      <x:c r="A54" s="186" t="str">
        <x:v>REV-050</x:v>
      </x:c>
      <x:c r="B54" s="193"/>
      <x:c r="C54" s="187" t="str"/>
      <x:c r="D54" s="187" t="str"/>
      <x:c r="E54" s="187" t="str"/>
      <x:c r="F54" s="187" t="str"/>
      <x:c r="G54" s="187" t="str">
        <x:v>Pending</x:v>
      </x:c>
      <x:c r="H54" s="187" t="str"/>
      <x:c r="I54" s="188" t="str"/>
    </x:row>
    <x:row r="55">
      <x:c r="A55" s="186" t="str">
        <x:v>REV-051</x:v>
      </x:c>
      <x:c r="B55" s="193"/>
      <x:c r="C55" s="187" t="str"/>
      <x:c r="D55" s="187" t="str"/>
      <x:c r="E55" s="187" t="str"/>
      <x:c r="F55" s="187" t="str"/>
      <x:c r="G55" s="187" t="str">
        <x:v>Pending</x:v>
      </x:c>
      <x:c r="H55" s="187" t="str"/>
      <x:c r="I55" s="188" t="str"/>
    </x:row>
    <x:row r="56">
      <x:c r="A56" s="186" t="str">
        <x:v>REV-052</x:v>
      </x:c>
      <x:c r="B56" s="193"/>
      <x:c r="C56" s="187" t="str"/>
      <x:c r="D56" s="187" t="str"/>
      <x:c r="E56" s="187" t="str"/>
      <x:c r="F56" s="187" t="str"/>
      <x:c r="G56" s="187" t="str">
        <x:v>Pending</x:v>
      </x:c>
      <x:c r="H56" s="187" t="str"/>
      <x:c r="I56" s="188" t="str"/>
    </x:row>
    <x:row r="57">
      <x:c r="A57" s="186" t="str">
        <x:v>REV-053</x:v>
      </x:c>
      <x:c r="B57" s="193"/>
      <x:c r="C57" s="187" t="str"/>
      <x:c r="D57" s="187" t="str"/>
      <x:c r="E57" s="187" t="str"/>
      <x:c r="F57" s="187" t="str"/>
      <x:c r="G57" s="187" t="str">
        <x:v>Pending</x:v>
      </x:c>
      <x:c r="H57" s="187" t="str"/>
      <x:c r="I57" s="188" t="str"/>
    </x:row>
    <x:row r="58">
      <x:c r="A58" s="186" t="str">
        <x:v>REV-054</x:v>
      </x:c>
      <x:c r="B58" s="193"/>
      <x:c r="C58" s="187" t="str"/>
      <x:c r="D58" s="187" t="str"/>
      <x:c r="E58" s="187" t="str"/>
      <x:c r="F58" s="187" t="str"/>
      <x:c r="G58" s="187" t="str">
        <x:v>Pending</x:v>
      </x:c>
      <x:c r="H58" s="187" t="str"/>
      <x:c r="I58" s="188" t="str"/>
    </x:row>
    <x:row r="59">
      <x:c r="A59" s="186" t="str">
        <x:v>REV-055</x:v>
      </x:c>
      <x:c r="B59" s="193"/>
      <x:c r="C59" s="187" t="str"/>
      <x:c r="D59" s="187" t="str"/>
      <x:c r="E59" s="187" t="str"/>
      <x:c r="F59" s="187" t="str"/>
      <x:c r="G59" s="187" t="str">
        <x:v>Pending</x:v>
      </x:c>
      <x:c r="H59" s="187" t="str"/>
      <x:c r="I59" s="188" t="str"/>
    </x:row>
    <x:row r="60">
      <x:c r="A60" s="186" t="str">
        <x:v>REV-056</x:v>
      </x:c>
      <x:c r="B60" s="193"/>
      <x:c r="C60" s="187" t="str"/>
      <x:c r="D60" s="187" t="str"/>
      <x:c r="E60" s="187" t="str"/>
      <x:c r="F60" s="187" t="str"/>
      <x:c r="G60" s="187" t="str">
        <x:v>Pending</x:v>
      </x:c>
      <x:c r="H60" s="187" t="str"/>
      <x:c r="I60" s="188" t="str"/>
    </x:row>
    <x:row r="61">
      <x:c r="A61" s="186" t="str">
        <x:v>REV-057</x:v>
      </x:c>
      <x:c r="B61" s="193"/>
      <x:c r="C61" s="187" t="str"/>
      <x:c r="D61" s="187" t="str"/>
      <x:c r="E61" s="187" t="str"/>
      <x:c r="F61" s="187" t="str"/>
      <x:c r="G61" s="187" t="str">
        <x:v>Pending</x:v>
      </x:c>
      <x:c r="H61" s="187" t="str"/>
      <x:c r="I61" s="188" t="str"/>
    </x:row>
    <x:row r="62">
      <x:c r="A62" s="186" t="str">
        <x:v>REV-058</x:v>
      </x:c>
      <x:c r="B62" s="193"/>
      <x:c r="C62" s="187" t="str"/>
      <x:c r="D62" s="187" t="str"/>
      <x:c r="E62" s="187" t="str"/>
      <x:c r="F62" s="187" t="str"/>
      <x:c r="G62" s="187" t="str">
        <x:v>Pending</x:v>
      </x:c>
      <x:c r="H62" s="187" t="str"/>
      <x:c r="I62" s="188" t="str"/>
    </x:row>
    <x:row r="63">
      <x:c r="A63" s="186" t="str">
        <x:v>REV-059</x:v>
      </x:c>
      <x:c r="B63" s="193"/>
      <x:c r="C63" s="187" t="str"/>
      <x:c r="D63" s="187" t="str"/>
      <x:c r="E63" s="187" t="str"/>
      <x:c r="F63" s="187" t="str"/>
      <x:c r="G63" s="187" t="str">
        <x:v>Pending</x:v>
      </x:c>
      <x:c r="H63" s="187" t="str"/>
      <x:c r="I63" s="188" t="str"/>
    </x:row>
    <x:row r="64">
      <x:c r="A64" s="186" t="str">
        <x:v>REV-060</x:v>
      </x:c>
      <x:c r="B64" s="193"/>
      <x:c r="C64" s="187" t="str"/>
      <x:c r="D64" s="187" t="str"/>
      <x:c r="E64" s="187" t="str"/>
      <x:c r="F64" s="187" t="str"/>
      <x:c r="G64" s="187" t="str">
        <x:v>Pending</x:v>
      </x:c>
      <x:c r="H64" s="187" t="str"/>
      <x:c r="I64" s="188" t="str"/>
    </x:row>
    <x:row r="65">
      <x:c r="A65" s="186" t="str">
        <x:v>REV-061</x:v>
      </x:c>
      <x:c r="B65" s="193"/>
      <x:c r="C65" s="187" t="str"/>
      <x:c r="D65" s="187" t="str"/>
      <x:c r="E65" s="187" t="str"/>
      <x:c r="F65" s="187" t="str"/>
      <x:c r="G65" s="187" t="str">
        <x:v>Pending</x:v>
      </x:c>
      <x:c r="H65" s="187" t="str"/>
      <x:c r="I65" s="188" t="str"/>
    </x:row>
    <x:row r="66">
      <x:c r="A66" s="186" t="str">
        <x:v>REV-062</x:v>
      </x:c>
      <x:c r="B66" s="193"/>
      <x:c r="C66" s="187" t="str"/>
      <x:c r="D66" s="187" t="str"/>
      <x:c r="E66" s="187" t="str"/>
      <x:c r="F66" s="187" t="str"/>
      <x:c r="G66" s="187" t="str">
        <x:v>Pending</x:v>
      </x:c>
      <x:c r="H66" s="187" t="str"/>
      <x:c r="I66" s="188" t="str"/>
    </x:row>
    <x:row r="67">
      <x:c r="A67" s="186" t="str">
        <x:v>REV-063</x:v>
      </x:c>
      <x:c r="B67" s="193"/>
      <x:c r="C67" s="187" t="str"/>
      <x:c r="D67" s="187" t="str"/>
      <x:c r="E67" s="187" t="str"/>
      <x:c r="F67" s="187" t="str"/>
      <x:c r="G67" s="187" t="str">
        <x:v>Pending</x:v>
      </x:c>
      <x:c r="H67" s="187" t="str"/>
      <x:c r="I67" s="188" t="str"/>
    </x:row>
    <x:row r="68">
      <x:c r="A68" s="186" t="str">
        <x:v>REV-064</x:v>
      </x:c>
      <x:c r="B68" s="193"/>
      <x:c r="C68" s="187" t="str"/>
      <x:c r="D68" s="187" t="str"/>
      <x:c r="E68" s="187" t="str"/>
      <x:c r="F68" s="187" t="str"/>
      <x:c r="G68" s="187" t="str">
        <x:v>Pending</x:v>
      </x:c>
      <x:c r="H68" s="187" t="str"/>
      <x:c r="I68" s="188" t="str"/>
    </x:row>
    <x:row r="69">
      <x:c r="A69" s="186" t="str">
        <x:v>REV-065</x:v>
      </x:c>
      <x:c r="B69" s="193"/>
      <x:c r="C69" s="187" t="str"/>
      <x:c r="D69" s="187" t="str"/>
      <x:c r="E69" s="187" t="str"/>
      <x:c r="F69" s="187" t="str"/>
      <x:c r="G69" s="187" t="str">
        <x:v>Pending</x:v>
      </x:c>
      <x:c r="H69" s="187" t="str"/>
      <x:c r="I69" s="188" t="str"/>
    </x:row>
    <x:row r="70">
      <x:c r="A70" s="186" t="str">
        <x:v>REV-066</x:v>
      </x:c>
      <x:c r="B70" s="193"/>
      <x:c r="C70" s="187" t="str"/>
      <x:c r="D70" s="187" t="str"/>
      <x:c r="E70" s="187" t="str"/>
      <x:c r="F70" s="187" t="str"/>
      <x:c r="G70" s="187" t="str">
        <x:v>Pending</x:v>
      </x:c>
      <x:c r="H70" s="187" t="str"/>
      <x:c r="I70" s="188" t="str"/>
    </x:row>
    <x:row r="71">
      <x:c r="A71" s="186" t="str">
        <x:v>REV-067</x:v>
      </x:c>
      <x:c r="B71" s="193"/>
      <x:c r="C71" s="187" t="str"/>
      <x:c r="D71" s="187" t="str"/>
      <x:c r="E71" s="187" t="str"/>
      <x:c r="F71" s="187" t="str"/>
      <x:c r="G71" s="187" t="str">
        <x:v>Pending</x:v>
      </x:c>
      <x:c r="H71" s="187" t="str"/>
      <x:c r="I71" s="188" t="str"/>
    </x:row>
    <x:row r="72">
      <x:c r="A72" s="186" t="str">
        <x:v>REV-068</x:v>
      </x:c>
      <x:c r="B72" s="193"/>
      <x:c r="C72" s="187" t="str"/>
      <x:c r="D72" s="187" t="str"/>
      <x:c r="E72" s="187" t="str"/>
      <x:c r="F72" s="187" t="str"/>
      <x:c r="G72" s="187" t="str">
        <x:v>Pending</x:v>
      </x:c>
      <x:c r="H72" s="187" t="str"/>
      <x:c r="I72" s="188" t="str"/>
    </x:row>
    <x:row r="73">
      <x:c r="A73" s="186" t="str">
        <x:v>REV-069</x:v>
      </x:c>
      <x:c r="B73" s="193"/>
      <x:c r="C73" s="187" t="str"/>
      <x:c r="D73" s="187" t="str"/>
      <x:c r="E73" s="187" t="str"/>
      <x:c r="F73" s="187" t="str"/>
      <x:c r="G73" s="187" t="str">
        <x:v>Pending</x:v>
      </x:c>
      <x:c r="H73" s="187" t="str"/>
      <x:c r="I73" s="188" t="str"/>
    </x:row>
    <x:row r="74">
      <x:c r="A74" s="186" t="str">
        <x:v>REV-070</x:v>
      </x:c>
      <x:c r="B74" s="193"/>
      <x:c r="C74" s="187" t="str"/>
      <x:c r="D74" s="187" t="str"/>
      <x:c r="E74" s="187" t="str"/>
      <x:c r="F74" s="187" t="str"/>
      <x:c r="G74" s="187" t="str">
        <x:v>Pending</x:v>
      </x:c>
      <x:c r="H74" s="187" t="str"/>
      <x:c r="I74" s="188" t="str"/>
    </x:row>
    <x:row r="75">
      <x:c r="A75" s="186" t="str">
        <x:v>REV-071</x:v>
      </x:c>
      <x:c r="B75" s="193"/>
      <x:c r="C75" s="187" t="str"/>
      <x:c r="D75" s="187" t="str"/>
      <x:c r="E75" s="187" t="str"/>
      <x:c r="F75" s="187" t="str"/>
      <x:c r="G75" s="187" t="str">
        <x:v>Pending</x:v>
      </x:c>
      <x:c r="H75" s="187" t="str"/>
      <x:c r="I75" s="188" t="str"/>
    </x:row>
    <x:row r="76">
      <x:c r="A76" s="186" t="str">
        <x:v>REV-072</x:v>
      </x:c>
      <x:c r="B76" s="193"/>
      <x:c r="C76" s="187" t="str"/>
      <x:c r="D76" s="187" t="str"/>
      <x:c r="E76" s="187" t="str"/>
      <x:c r="F76" s="187" t="str"/>
      <x:c r="G76" s="187" t="str">
        <x:v>Pending</x:v>
      </x:c>
      <x:c r="H76" s="187" t="str"/>
      <x:c r="I76" s="188" t="str"/>
    </x:row>
    <x:row r="77">
      <x:c r="A77" s="186" t="str">
        <x:v>REV-073</x:v>
      </x:c>
      <x:c r="B77" s="193"/>
      <x:c r="C77" s="187" t="str"/>
      <x:c r="D77" s="187" t="str"/>
      <x:c r="E77" s="187" t="str"/>
      <x:c r="F77" s="187" t="str"/>
      <x:c r="G77" s="187" t="str">
        <x:v>Pending</x:v>
      </x:c>
      <x:c r="H77" s="187" t="str"/>
      <x:c r="I77" s="188" t="str"/>
    </x:row>
    <x:row r="78">
      <x:c r="A78" s="186" t="str">
        <x:v>REV-074</x:v>
      </x:c>
      <x:c r="B78" s="193"/>
      <x:c r="C78" s="187" t="str"/>
      <x:c r="D78" s="187" t="str"/>
      <x:c r="E78" s="187" t="str"/>
      <x:c r="F78" s="187" t="str"/>
      <x:c r="G78" s="187" t="str">
        <x:v>Pending</x:v>
      </x:c>
      <x:c r="H78" s="187" t="str"/>
      <x:c r="I78" s="188" t="str"/>
    </x:row>
    <x:row r="79">
      <x:c r="A79" s="186" t="str">
        <x:v>REV-075</x:v>
      </x:c>
      <x:c r="B79" s="193"/>
      <x:c r="C79" s="187" t="str"/>
      <x:c r="D79" s="187" t="str"/>
      <x:c r="E79" s="187" t="str"/>
      <x:c r="F79" s="187" t="str"/>
      <x:c r="G79" s="187" t="str">
        <x:v>Pending</x:v>
      </x:c>
      <x:c r="H79" s="187" t="str"/>
      <x:c r="I79" s="188" t="str"/>
    </x:row>
    <x:row r="80">
      <x:c r="A80" s="186" t="str">
        <x:v>REV-076</x:v>
      </x:c>
      <x:c r="B80" s="193"/>
      <x:c r="C80" s="187" t="str"/>
      <x:c r="D80" s="187" t="str"/>
      <x:c r="E80" s="187" t="str"/>
      <x:c r="F80" s="187" t="str"/>
      <x:c r="G80" s="187" t="str">
        <x:v>Pending</x:v>
      </x:c>
      <x:c r="H80" s="187" t="str"/>
      <x:c r="I80" s="188" t="str"/>
    </x:row>
    <x:row r="81">
      <x:c r="A81" s="186" t="str">
        <x:v>REV-077</x:v>
      </x:c>
      <x:c r="B81" s="193"/>
      <x:c r="C81" s="187" t="str"/>
      <x:c r="D81" s="187" t="str"/>
      <x:c r="E81" s="187" t="str"/>
      <x:c r="F81" s="187" t="str"/>
      <x:c r="G81" s="187" t="str">
        <x:v>Pending</x:v>
      </x:c>
      <x:c r="H81" s="187" t="str"/>
      <x:c r="I81" s="188" t="str"/>
    </x:row>
    <x:row r="82">
      <x:c r="A82" s="186" t="str">
        <x:v>REV-078</x:v>
      </x:c>
      <x:c r="B82" s="193"/>
      <x:c r="C82" s="187" t="str"/>
      <x:c r="D82" s="187" t="str"/>
      <x:c r="E82" s="187" t="str"/>
      <x:c r="F82" s="187" t="str"/>
      <x:c r="G82" s="187" t="str">
        <x:v>Pending</x:v>
      </x:c>
      <x:c r="H82" s="187" t="str"/>
      <x:c r="I82" s="188" t="str"/>
    </x:row>
    <x:row r="83">
      <x:c r="A83" s="186" t="str">
        <x:v>REV-079</x:v>
      </x:c>
      <x:c r="B83" s="193"/>
      <x:c r="C83" s="187" t="str"/>
      <x:c r="D83" s="187" t="str"/>
      <x:c r="E83" s="187" t="str"/>
      <x:c r="F83" s="187" t="str"/>
      <x:c r="G83" s="187" t="str">
        <x:v>Pending</x:v>
      </x:c>
      <x:c r="H83" s="187" t="str"/>
      <x:c r="I83" s="188" t="str"/>
    </x:row>
    <x:row r="84">
      <x:c r="A84" s="186" t="str">
        <x:v>REV-080</x:v>
      </x:c>
      <x:c r="B84" s="193"/>
      <x:c r="C84" s="187" t="str"/>
      <x:c r="D84" s="187" t="str"/>
      <x:c r="E84" s="187" t="str"/>
      <x:c r="F84" s="187" t="str"/>
      <x:c r="G84" s="187" t="str">
        <x:v>Pending</x:v>
      </x:c>
      <x:c r="H84" s="187" t="str"/>
      <x:c r="I84" s="188" t="str"/>
    </x:row>
    <x:row r="85">
      <x:c r="A85" s="186" t="str">
        <x:v>REV-081</x:v>
      </x:c>
      <x:c r="B85" s="193"/>
      <x:c r="C85" s="187" t="str"/>
      <x:c r="D85" s="187" t="str"/>
      <x:c r="E85" s="187" t="str"/>
      <x:c r="F85" s="187" t="str"/>
      <x:c r="G85" s="187" t="str">
        <x:v>Pending</x:v>
      </x:c>
      <x:c r="H85" s="187" t="str"/>
      <x:c r="I85" s="188" t="str"/>
    </x:row>
    <x:row r="86">
      <x:c r="A86" s="186" t="str">
        <x:v>REV-082</x:v>
      </x:c>
      <x:c r="B86" s="193"/>
      <x:c r="C86" s="187" t="str"/>
      <x:c r="D86" s="187" t="str"/>
      <x:c r="E86" s="187" t="str"/>
      <x:c r="F86" s="187" t="str"/>
      <x:c r="G86" s="187" t="str">
        <x:v>Pending</x:v>
      </x:c>
      <x:c r="H86" s="187" t="str"/>
      <x:c r="I86" s="188" t="str"/>
    </x:row>
    <x:row r="87">
      <x:c r="A87" s="186" t="str">
        <x:v>REV-083</x:v>
      </x:c>
      <x:c r="B87" s="193"/>
      <x:c r="C87" s="187" t="str"/>
      <x:c r="D87" s="187" t="str"/>
      <x:c r="E87" s="187" t="str"/>
      <x:c r="F87" s="187" t="str"/>
      <x:c r="G87" s="187" t="str">
        <x:v>Pending</x:v>
      </x:c>
      <x:c r="H87" s="187" t="str"/>
      <x:c r="I87" s="188" t="str"/>
    </x:row>
    <x:row r="88">
      <x:c r="A88" s="186" t="str">
        <x:v>REV-084</x:v>
      </x:c>
      <x:c r="B88" s="193"/>
      <x:c r="C88" s="187" t="str"/>
      <x:c r="D88" s="187" t="str"/>
      <x:c r="E88" s="187" t="str"/>
      <x:c r="F88" s="187" t="str"/>
      <x:c r="G88" s="187" t="str">
        <x:v>Pending</x:v>
      </x:c>
      <x:c r="H88" s="187" t="str"/>
      <x:c r="I88" s="188" t="str"/>
    </x:row>
    <x:row r="89">
      <x:c r="A89" s="186" t="str">
        <x:v>REV-085</x:v>
      </x:c>
      <x:c r="B89" s="193"/>
      <x:c r="C89" s="187" t="str"/>
      <x:c r="D89" s="187" t="str"/>
      <x:c r="E89" s="187" t="str"/>
      <x:c r="F89" s="187" t="str"/>
      <x:c r="G89" s="187" t="str">
        <x:v>Pending</x:v>
      </x:c>
      <x:c r="H89" s="187" t="str"/>
      <x:c r="I89" s="188" t="str"/>
    </x:row>
    <x:row r="90">
      <x:c r="A90" s="186" t="str">
        <x:v>REV-086</x:v>
      </x:c>
      <x:c r="B90" s="193"/>
      <x:c r="C90" s="187" t="str"/>
      <x:c r="D90" s="187" t="str"/>
      <x:c r="E90" s="187" t="str"/>
      <x:c r="F90" s="187" t="str"/>
      <x:c r="G90" s="187" t="str">
        <x:v>Pending</x:v>
      </x:c>
      <x:c r="H90" s="187" t="str"/>
      <x:c r="I90" s="188" t="str"/>
    </x:row>
    <x:row r="91">
      <x:c r="A91" s="186" t="str">
        <x:v>REV-087</x:v>
      </x:c>
      <x:c r="B91" s="193"/>
      <x:c r="C91" s="187" t="str"/>
      <x:c r="D91" s="187" t="str"/>
      <x:c r="E91" s="187" t="str"/>
      <x:c r="F91" s="187" t="str"/>
      <x:c r="G91" s="187" t="str">
        <x:v>Pending</x:v>
      </x:c>
      <x:c r="H91" s="187" t="str"/>
      <x:c r="I91" s="188" t="str"/>
    </x:row>
    <x:row r="92">
      <x:c r="A92" s="186" t="str">
        <x:v>REV-088</x:v>
      </x:c>
      <x:c r="B92" s="193"/>
      <x:c r="C92" s="187" t="str"/>
      <x:c r="D92" s="187" t="str"/>
      <x:c r="E92" s="187" t="str"/>
      <x:c r="F92" s="187" t="str"/>
      <x:c r="G92" s="187" t="str">
        <x:v>Pending</x:v>
      </x:c>
      <x:c r="H92" s="187" t="str"/>
      <x:c r="I92" s="188" t="str"/>
    </x:row>
    <x:row r="93">
      <x:c r="A93" s="186" t="str">
        <x:v>REV-089</x:v>
      </x:c>
      <x:c r="B93" s="193"/>
      <x:c r="C93" s="187" t="str"/>
      <x:c r="D93" s="187" t="str"/>
      <x:c r="E93" s="187" t="str"/>
      <x:c r="F93" s="187" t="str"/>
      <x:c r="G93" s="187" t="str">
        <x:v>Pending</x:v>
      </x:c>
      <x:c r="H93" s="187" t="str"/>
      <x:c r="I93" s="188" t="str"/>
    </x:row>
    <x:row r="94">
      <x:c r="A94" s="186" t="str">
        <x:v>REV-090</x:v>
      </x:c>
      <x:c r="B94" s="193"/>
      <x:c r="C94" s="187" t="str"/>
      <x:c r="D94" s="187" t="str"/>
      <x:c r="E94" s="187" t="str"/>
      <x:c r="F94" s="187" t="str"/>
      <x:c r="G94" s="187" t="str">
        <x:v>Pending</x:v>
      </x:c>
      <x:c r="H94" s="187" t="str"/>
      <x:c r="I94" s="188" t="str"/>
    </x:row>
    <x:row r="95">
      <x:c r="A95" s="186" t="str">
        <x:v>REV-091</x:v>
      </x:c>
      <x:c r="B95" s="193"/>
      <x:c r="C95" s="187" t="str"/>
      <x:c r="D95" s="187" t="str"/>
      <x:c r="E95" s="187" t="str"/>
      <x:c r="F95" s="187" t="str"/>
      <x:c r="G95" s="187" t="str">
        <x:v>Pending</x:v>
      </x:c>
      <x:c r="H95" s="187" t="str"/>
      <x:c r="I95" s="188" t="str"/>
    </x:row>
    <x:row r="96">
      <x:c r="A96" s="186" t="str">
        <x:v>REV-092</x:v>
      </x:c>
      <x:c r="B96" s="193"/>
      <x:c r="C96" s="187" t="str"/>
      <x:c r="D96" s="187" t="str"/>
      <x:c r="E96" s="187" t="str"/>
      <x:c r="F96" s="187" t="str"/>
      <x:c r="G96" s="187" t="str">
        <x:v>Pending</x:v>
      </x:c>
      <x:c r="H96" s="187" t="str"/>
      <x:c r="I96" s="188" t="str"/>
    </x:row>
    <x:row r="97">
      <x:c r="A97" s="186" t="str">
        <x:v>REV-093</x:v>
      </x:c>
      <x:c r="B97" s="193"/>
      <x:c r="C97" s="187" t="str"/>
      <x:c r="D97" s="187" t="str"/>
      <x:c r="E97" s="187" t="str"/>
      <x:c r="F97" s="187" t="str"/>
      <x:c r="G97" s="187" t="str">
        <x:v>Pending</x:v>
      </x:c>
      <x:c r="H97" s="187" t="str"/>
      <x:c r="I97" s="188" t="str"/>
    </x:row>
    <x:row r="98">
      <x:c r="A98" s="186" t="str">
        <x:v>REV-094</x:v>
      </x:c>
      <x:c r="B98" s="193"/>
      <x:c r="C98" s="187" t="str"/>
      <x:c r="D98" s="187" t="str"/>
      <x:c r="E98" s="187" t="str"/>
      <x:c r="F98" s="187" t="str"/>
      <x:c r="G98" s="187" t="str">
        <x:v>Pending</x:v>
      </x:c>
      <x:c r="H98" s="187" t="str"/>
      <x:c r="I98" s="188" t="str"/>
    </x:row>
    <x:row r="99">
      <x:c r="A99" s="186" t="str">
        <x:v>REV-095</x:v>
      </x:c>
      <x:c r="B99" s="193"/>
      <x:c r="C99" s="187" t="str"/>
      <x:c r="D99" s="187" t="str"/>
      <x:c r="E99" s="187" t="str"/>
      <x:c r="F99" s="187" t="str"/>
      <x:c r="G99" s="187" t="str">
        <x:v>Pending</x:v>
      </x:c>
      <x:c r="H99" s="187" t="str"/>
      <x:c r="I99" s="188" t="str"/>
    </x:row>
    <x:row r="100">
      <x:c r="A100" s="186" t="str">
        <x:v>REV-096</x:v>
      </x:c>
      <x:c r="B100" s="193"/>
      <x:c r="C100" s="187" t="str"/>
      <x:c r="D100" s="187" t="str"/>
      <x:c r="E100" s="187" t="str"/>
      <x:c r="F100" s="187" t="str"/>
      <x:c r="G100" s="187" t="str">
        <x:v>Pending</x:v>
      </x:c>
      <x:c r="H100" s="187" t="str"/>
      <x:c r="I100" s="188" t="str"/>
    </x:row>
    <x:row r="101">
      <x:c r="A101" s="186" t="str">
        <x:v>REV-097</x:v>
      </x:c>
      <x:c r="B101" s="193"/>
      <x:c r="C101" s="187" t="str"/>
      <x:c r="D101" s="187" t="str"/>
      <x:c r="E101" s="187" t="str"/>
      <x:c r="F101" s="187" t="str"/>
      <x:c r="G101" s="187" t="str">
        <x:v>Pending</x:v>
      </x:c>
      <x:c r="H101" s="187" t="str"/>
      <x:c r="I101" s="188" t="str"/>
    </x:row>
    <x:row r="102">
      <x:c r="A102" s="186" t="str">
        <x:v>REV-098</x:v>
      </x:c>
      <x:c r="B102" s="193"/>
      <x:c r="C102" s="187" t="str"/>
      <x:c r="D102" s="187" t="str"/>
      <x:c r="E102" s="187" t="str"/>
      <x:c r="F102" s="187" t="str"/>
      <x:c r="G102" s="187" t="str">
        <x:v>Pending</x:v>
      </x:c>
      <x:c r="H102" s="187" t="str"/>
      <x:c r="I102" s="188" t="str"/>
    </x:row>
    <x:row r="103">
      <x:c r="A103" s="186" t="str">
        <x:v>REV-099</x:v>
      </x:c>
      <x:c r="B103" s="193"/>
      <x:c r="C103" s="187" t="str"/>
      <x:c r="D103" s="187" t="str"/>
      <x:c r="E103" s="187" t="str"/>
      <x:c r="F103" s="187" t="str"/>
      <x:c r="G103" s="187" t="str">
        <x:v>Pending</x:v>
      </x:c>
      <x:c r="H103" s="187" t="str"/>
      <x:c r="I103" s="188" t="str"/>
    </x:row>
    <x:row r="104">
      <x:c r="A104" s="189" t="str">
        <x:v>REV-100</x:v>
      </x:c>
      <x:c r="B104" s="194"/>
      <x:c r="C104" s="190" t="str"/>
      <x:c r="D104" s="190" t="str"/>
      <x:c r="E104" s="190" t="str"/>
      <x:c r="F104" s="190" t="str"/>
      <x:c r="G104" s="190" t="str">
        <x:v>Pending</x:v>
      </x:c>
      <x:c r="H104" s="190" t="str"/>
      <x:c r="I104" s="191" t="str"/>
    </x:row>
  </x:sheetData>
  <x:mergeCells>
    <x:mergeCell ref="A1:I1"/>
    <x:mergeCell ref="A2:I2"/>
  </x:mergeCells>
  <x:dataValidations count="1">
    <x:dataValidation type="list" sqref="G5:G104">
      <x:formula1>"Pending,Accepted,Partially accepted,Rejected with rationale,Superseded"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a06454c09c4d4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38" hidden="0" customWidth="1"/>
    <x:col min="5" max="5" width="17" hidden="0" customWidth="1"/>
    <x:col min="6" max="6" width="17" hidden="0" customWidth="1"/>
    <x:col min="7" max="7" width="13" hidden="0" customWidth="1"/>
    <x:col min="8" max="8" width="17" hidden="0" customWidth="1"/>
    <x:col min="9" max="9" width="16" hidden="0" customWidth="1"/>
    <x:col min="10" max="10" width="20" hidden="0" customWidth="1"/>
    <x:col min="11" max="11" width="20" hidden="0" customWidth="1"/>
    <x:col min="12" max="12" width="17" hidden="0" customWidth="1"/>
    <x:col min="13" max="13" width="15" hidden="0" customWidth="1"/>
    <x:col min="14" max="14" width="15" hidden="0" customWidth="1"/>
    <x:col min="15" max="15" width="17" hidden="0" customWidth="1"/>
    <x:col min="16" max="16" width="20" hidden="0" customWidth="1"/>
  </x:cols>
  <x:sheetData>
    <x:row r="1" ht="30" customHeight="1">
      <x:c r="A1" s="230" t="str">
        <x:v>Simulation output import schema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  <x:c r="O1" s="165"/>
      <x:c r="P1" s="165"/>
    </x:row>
    <x:row r="2" ht="30" customHeight="1">
      <x:c r="A2" s="231" t="str">
        <x:v>One row per run-product-strategy. Import values from the seeded Python engine; do not hand-edit simulation results.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  <x:c r="O2" s="165"/>
      <x:c r="P2" s="165"/>
    </x:row>
    <x:row r="3">
      <x:c r="A3" s="165"/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  <x:c r="O3" s="165"/>
      <x:c r="P3" s="165"/>
    </x:row>
    <x:row r="4">
      <x:c r="A4" s="182" t="str">
        <x:v>run_id</x:v>
      </x:c>
      <x:c r="B4" s="182" t="str">
        <x:v>seed</x:v>
      </x:c>
      <x:c r="C4" s="182" t="str">
        <x:v>product</x:v>
      </x:c>
      <x:c r="D4" s="182" t="str">
        <x:v>strategy</x:v>
      </x:c>
      <x:c r="E4" s="182" t="str">
        <x:v>annual_demand</x:v>
      </x:c>
      <x:c r="F4" s="182" t="str">
        <x:v>units_supplied</x:v>
      </x:c>
      <x:c r="G4" s="182" t="str">
        <x:v>fill_rate</x:v>
      </x:c>
      <x:c r="H4" s="182" t="str">
        <x:v>shortage_days</x:v>
      </x:c>
      <x:c r="I4" s="182" t="str">
        <x:v>unmet_units</x:v>
      </x:c>
      <x:c r="J4" s="182" t="str">
        <x:v>response_days_p50</x:v>
      </x:c>
      <x:c r="K4" s="182" t="str">
        <x:v>response_days_p95</x:v>
      </x:c>
      <x:c r="L4" s="182" t="str">
        <x:v>annual_cost</x:v>
      </x:c>
      <x:c r="M4" s="182" t="str">
        <x:v>cost_per_unit</x:v>
      </x:c>
      <x:c r="N4" s="182" t="str">
        <x:v>node_failures</x:v>
      </x:c>
      <x:c r="O4" s="182" t="str">
        <x:v>common_failures</x:v>
      </x:c>
      <x:c r="P4" s="182" t="str">
        <x:v>regulatory_case</x:v>
      </x:c>
    </x:row>
    <x:row r="5">
      <x:c r="A5" s="222" t="str">
        <x:v>example_only</x:v>
      </x:c>
      <x:c r="B5" s="223" t="n">
        <x:v>12345</x:v>
      </x:c>
      <x:c r="C5" s="223" t="str">
        <x:v>Product A</x:v>
      </x:c>
      <x:c r="D5" s="223" t="str">
        <x:v>Status quo centralized</x:v>
      </x:c>
      <x:c r="E5" s="224" t="n">
        <x:v>1200000</x:v>
      </x:c>
      <x:c r="F5" s="224" t="n">
        <x:v>1140000</x:v>
      </x:c>
      <x:c r="G5" s="225" t="n">
        <x:v>0.95</x:v>
      </x:c>
      <x:c r="H5" s="226" t="n">
        <x:v>18</x:v>
      </x:c>
      <x:c r="I5" s="226" t="n">
        <x:v>60000</x:v>
      </x:c>
      <x:c r="J5" s="226" t="n">
        <x:v>21</x:v>
      </x:c>
      <x:c r="K5" s="226" t="n">
        <x:v>110</x:v>
      </x:c>
      <x:c r="L5" s="227" t="n">
        <x:v>8500000</x:v>
      </x:c>
      <x:c r="M5" s="228" t="n">
        <x:v>7.46</x:v>
      </x:c>
      <x:c r="N5" s="223" t="n">
        <x:v>1</x:v>
      </x:c>
      <x:c r="O5" s="223" t="n">
        <x:v>1</x:v>
      </x:c>
      <x:c r="P5" s="229" t="str">
        <x:v>Approved/CMO</x:v>
      </x:c>
    </x:row>
  </x:sheetData>
  <x:mergeCells>
    <x:mergeCell ref="A1:P1"/>
    <x:mergeCell ref="A2:P2"/>
  </x:mergeCells>
  <x:pageMargins left="0.7" right="0.7" top="0.75" bottom="0.75" header="0.3" footer="0.3"/>
</x:worksheet>
</file>